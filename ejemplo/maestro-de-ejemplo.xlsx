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_Carteras" sheetId="1" r:id="rId1"/>
    <sheet name="Base_Carteras_Asignadas" sheetId="2" r:id="rId2"/>
  </sheets>
</workbook>
</file>

<file path=xl/sharedStrings.xml><?xml version="1.0" encoding="utf-8"?>
<sst xmlns="http://schemas.openxmlformats.org/spreadsheetml/2006/main" count="675" uniqueCount="675">
  <si>
    <t xml:space="preserve">FOLIO THIQA</t>
  </si>
  <si>
    <t xml:space="preserve">EXP. DIGITAL</t>
  </si>
  <si>
    <t xml:space="preserve">FUENTE</t>
  </si>
  <si>
    <t xml:space="preserve">ESTATUS RUTA</t>
  </si>
  <si>
    <t xml:space="preserve">NOMBRE</t>
  </si>
  <si>
    <t xml:space="preserve">DIRECCION</t>
  </si>
  <si>
    <t xml:space="preserve">LINK</t>
  </si>
  <si>
    <t xml:space="preserve">CUADRILLA</t>
  </si>
  <si>
    <t xml:space="preserve">COLONIA</t>
  </si>
  <si>
    <t xml:space="preserve">CP</t>
  </si>
  <si>
    <t xml:space="preserve">MUNICIPIO</t>
  </si>
  <si>
    <t xml:space="preserve">ENTIDAD</t>
  </si>
  <si>
    <t xml:space="preserve">NO. RUTA</t>
  </si>
  <si>
    <t xml:space="preserve">F. ASIGNACION</t>
  </si>
  <si>
    <t xml:space="preserve">F. DESALOJO ACORDADA</t>
  </si>
  <si>
    <t xml:space="preserve">F. CONVENIO FIRMADO</t>
  </si>
  <si>
    <t xml:space="preserve">MONTO ACORDADO</t>
  </si>
  <si>
    <t xml:space="preserve">CARTA PODER</t>
  </si>
  <si>
    <t xml:space="preserve">MONTO MAXIMO POR CASA</t>
  </si>
  <si>
    <t xml:space="preserve">ADEUDO_PREDIAL</t>
  </si>
  <si>
    <t xml:space="preserve">ETAPA JUDICIAL</t>
  </si>
  <si>
    <t xml:space="preserve">CARPETA MATERIALES DE TAPEO</t>
  </si>
  <si>
    <t xml:space="preserve">CARPETA DE EVIDENCIAS</t>
  </si>
  <si>
    <t xml:space="preserve">TOTAL CALCULADO</t>
  </si>
  <si>
    <t xml:space="preserve">PIC_QNO-TLAJO</t>
  </si>
  <si>
    <t xml:space="preserve">Recuperada</t>
  </si>
  <si>
    <t xml:space="preserve">OCUPANTE DE EJEMPLO 001</t>
  </si>
  <si>
    <t xml:space="preserve">AVTEMUCO100SANTAFE45653TLAJOMULCO NA MZ 1 LT 1 EDIF NA NIV 01</t>
  </si>
  <si>
    <t xml:space="preserve">Teofilo Ramos</t>
  </si>
  <si>
    <t xml:space="preserve">Santa Fe</t>
  </si>
  <si>
    <t xml:space="preserve">45653</t>
  </si>
  <si>
    <t xml:space="preserve">Tlajomulco de Zuniga</t>
  </si>
  <si>
    <t xml:space="preserve">Jalisco</t>
  </si>
  <si>
    <t xml:space="preserve">Ruta 1</t>
  </si>
  <si>
    <t xml:space="preserve">Cuenta al corriente</t>
  </si>
  <si>
    <t xml:space="preserve">Sentencia ejecutoriada</t>
  </si>
  <si>
    <t xml:space="preserve">Materiales PIC_TLAJO_001</t>
  </si>
  <si>
    <t xml:space="preserve">Evidencias PIC_TLAJO_001</t>
  </si>
  <si>
    <t xml:space="preserve">BNC_HSBC-TLAJO</t>
  </si>
  <si>
    <t xml:space="preserve">En ruta</t>
  </si>
  <si>
    <t xml:space="preserve">OCUPANTE DE EJEMPLO 002</t>
  </si>
  <si>
    <t xml:space="preserve">CERRODELACRUZ137HACIENDASANTAFE45654TLAJOMULCO</t>
  </si>
  <si>
    <t xml:space="preserve">Tony Mares</t>
  </si>
  <si>
    <t xml:space="preserve">Hacienda Santa Fe</t>
  </si>
  <si>
    <t xml:space="preserve">45654</t>
  </si>
  <si>
    <t xml:space="preserve">Ruta 2</t>
  </si>
  <si>
    <t xml:space="preserve">Sentencia Ejecutoriada</t>
  </si>
  <si>
    <t xml:space="preserve">OCUPANTE DE EJEMPLO 003</t>
  </si>
  <si>
    <t xml:space="preserve">CERROLAATALAYA174CHULAVISTA45645TLAJOMULCO</t>
  </si>
  <si>
    <t xml:space="preserve">Cuadrilla 3</t>
  </si>
  <si>
    <t xml:space="preserve">Chulavista</t>
  </si>
  <si>
    <t xml:space="preserve">45645</t>
  </si>
  <si>
    <t xml:space="preserve">Ruta 3</t>
  </si>
  <si>
    <t xml:space="preserve">En ejecucion de sentencia</t>
  </si>
  <si>
    <t xml:space="preserve">Evidencias PIC_TLAJO_003</t>
  </si>
  <si>
    <t xml:space="preserve">Negacion Ocupante</t>
  </si>
  <si>
    <t xml:space="preserve">OCUPANTE DE EJEMPLO 004</t>
  </si>
  <si>
    <t xml:space="preserve">MONTECABRA178DLOMAS45640TLAJOMULCO</t>
  </si>
  <si>
    <t xml:space="preserve">Cuadrilla 4</t>
  </si>
  <si>
    <t xml:space="preserve">LOMAS </t>
  </si>
  <si>
    <t xml:space="preserve">45640</t>
  </si>
  <si>
    <t xml:space="preserve">Ruta 4</t>
  </si>
  <si>
    <t xml:space="preserve">dacion en pago</t>
  </si>
  <si>
    <t xml:space="preserve">OCUPANTE DE EJEMPLO 005</t>
  </si>
  <si>
    <t xml:space="preserve">CERRODELAS7GOTAS248LOMASDELSUR45653TLAJOMULCO</t>
  </si>
  <si>
    <t xml:space="preserve">Lomas del Sur</t>
  </si>
  <si>
    <t xml:space="preserve">Ruta 5</t>
  </si>
  <si>
    <t xml:space="preserve">Prescripcion</t>
  </si>
  <si>
    <t xml:space="preserve">OCUPANTE DE EJEMPLO 006</t>
  </si>
  <si>
    <t xml:space="preserve">ESTELI285LOSAMIALES45654TLAJOMULCO</t>
  </si>
  <si>
    <t xml:space="preserve">Los Amiales</t>
  </si>
  <si>
    <t xml:space="preserve">Ruta 6</t>
  </si>
  <si>
    <t xml:space="preserve">Ejecucion de impago</t>
  </si>
  <si>
    <t xml:space="preserve">Evidencias PIC_TLAJO_006</t>
  </si>
  <si>
    <t xml:space="preserve">OCUPANTE DE EJEMPLO 007</t>
  </si>
  <si>
    <t xml:space="preserve">MONTEVIDEO322VILLASDELAHACIENDA45645TLAJOMULCO</t>
  </si>
  <si>
    <t xml:space="preserve">Villas de la Hacienda</t>
  </si>
  <si>
    <t xml:space="preserve">Ruta 7</t>
  </si>
  <si>
    <t xml:space="preserve">Requerimiento de pago</t>
  </si>
  <si>
    <t xml:space="preserve">OCUPANTE DE EJEMPLO 008</t>
  </si>
  <si>
    <t xml:space="preserve">AVBOGOTA359ELPALOMAR45640TLAJOMULCO NA MZ 8 LT 8 EDIF NA NIV 02</t>
  </si>
  <si>
    <t xml:space="preserve">El Palomar</t>
  </si>
  <si>
    <t xml:space="preserve">Ruta 8</t>
  </si>
  <si>
    <t xml:space="preserve">PRV_INFVT-_TLAJO</t>
  </si>
  <si>
    <t xml:space="preserve">OCUPANTE DE EJEMPLO 009</t>
  </si>
  <si>
    <t xml:space="preserve">BLVDREPUBLICADEHONDURAS396SANTAFE45653TLAJOMULCO</t>
  </si>
  <si>
    <t xml:space="preserve">Ruta 9</t>
  </si>
  <si>
    <t xml:space="preserve">OCUPANTE DE EJEMPLO 010</t>
  </si>
  <si>
    <t xml:space="preserve">PASEODELOSAGAVES433HACIENDASANTAFE45654TLAJOMULCO</t>
  </si>
  <si>
    <t xml:space="preserve">Ruta 10</t>
  </si>
  <si>
    <t xml:space="preserve">Materiales PRV_INFVT_010</t>
  </si>
  <si>
    <t xml:space="preserve">Evidencias PRV_INFVT_010</t>
  </si>
  <si>
    <t xml:space="preserve">OCUPANTE DE EJEMPLO 011</t>
  </si>
  <si>
    <t xml:space="preserve">VOLCANPARICUTIN470CHULAVISTA45645TLAJOMULCO</t>
  </si>
  <si>
    <t xml:space="preserve">Ruta 11</t>
  </si>
  <si>
    <t xml:space="preserve">Materiales PIC_TLAJO_011</t>
  </si>
  <si>
    <t xml:space="preserve">Evidencias PIC_TLAJO_011</t>
  </si>
  <si>
    <t xml:space="preserve">OCUPANTE DE EJEMPLO 012</t>
  </si>
  <si>
    <t xml:space="preserve">LOMADORADA107LOMAS45640TLAJOMULCO</t>
  </si>
  <si>
    <t xml:space="preserve">Ruta 12</t>
  </si>
  <si>
    <t xml:space="preserve">Prox. Recuperacion</t>
  </si>
  <si>
    <t xml:space="preserve">OCUPANTE DE EJEMPLO 013</t>
  </si>
  <si>
    <t xml:space="preserve">REALDEMINAS144LOMASDELSUR45653TLAJOMULCO</t>
  </si>
  <si>
    <t xml:space="preserve">Materiales BNC_HSBC_013</t>
  </si>
  <si>
    <t xml:space="preserve">Evidencias BNC_HSBC_013</t>
  </si>
  <si>
    <t xml:space="preserve">OCUPANTE DE EJEMPLO 014</t>
  </si>
  <si>
    <t xml:space="preserve">CAMINOREAL181LOSAMIALES45654TLAJOMULCO</t>
  </si>
  <si>
    <t xml:space="preserve">OCUPANTE DE EJEMPLO 015</t>
  </si>
  <si>
    <t xml:space="preserve">RINCONADADELSOL218VILLASDELAHACIENDA45645TLAJOMULCO NA MZ 15 LT 15 EDIF NA NIV 03</t>
  </si>
  <si>
    <t xml:space="preserve">Evidencias PRV_INFVT_015</t>
  </si>
  <si>
    <t xml:space="preserve">OCUPANTE DE EJEMPLO 016</t>
  </si>
  <si>
    <t xml:space="preserve">HACIENDAVIEJA255ELPALOMAR45640TLAJOMULCO</t>
  </si>
  <si>
    <t xml:space="preserve">Materiales PIC_TLAJO_016</t>
  </si>
  <si>
    <t xml:space="preserve">OCUPANTE DE EJEMPLO 017</t>
  </si>
  <si>
    <t xml:space="preserve">PORTALDESANJUAN292SANTAFE45653TLAJOMULCO</t>
  </si>
  <si>
    <t xml:space="preserve">Materiales PRV_INFVT_017</t>
  </si>
  <si>
    <t xml:space="preserve">Evidencias PRV_INFVT_017</t>
  </si>
  <si>
    <t xml:space="preserve">OCUPANTE DE EJEMPLO 018</t>
  </si>
  <si>
    <t xml:space="preserve">VALLEDETOLUCA329HACIENDASANTAFE45654TLAJOMULCO</t>
  </si>
  <si>
    <t xml:space="preserve">Evidencias PIC_TLAJO_018</t>
  </si>
  <si>
    <t xml:space="preserve">OCUPANTE DE EJEMPLO 019</t>
  </si>
  <si>
    <t xml:space="preserve">CERROGORDO366CHULAVISTA45645TLAJOMULCO</t>
  </si>
  <si>
    <t xml:space="preserve">OCUPANTE DE EJEMPLO 020</t>
  </si>
  <si>
    <t xml:space="preserve">PRADOSUR403LOMAS45640TLAJOMULCO</t>
  </si>
  <si>
    <t xml:space="preserve">Materiales PIC_TLAJO_020</t>
  </si>
  <si>
    <t xml:space="preserve">OCUPANTE DE EJEMPLO 021</t>
  </si>
  <si>
    <t xml:space="preserve">AVTEMUCO440LOMASDELSUR45653TLAJOMULCO</t>
  </si>
  <si>
    <t xml:space="preserve">Evidencias BNC_HSBC_021</t>
  </si>
  <si>
    <t xml:space="preserve">Cartera Bloqueada</t>
  </si>
  <si>
    <t xml:space="preserve">OCUPANTE DE EJEMPLO 022</t>
  </si>
  <si>
    <t xml:space="preserve">CERRODELACRUZ477LOSAMIALES45654TLAJOMULCO NA MZ 22 LT 22 EDIF NA NIV 01</t>
  </si>
  <si>
    <t xml:space="preserve">OCUPANTE DE EJEMPLO 023</t>
  </si>
  <si>
    <t xml:space="preserve">CERROLAATALAYA114VILLASDELAHACIENDA45645TLAJOMULCO</t>
  </si>
  <si>
    <t xml:space="preserve">Materiales PIC_TLAJO_023</t>
  </si>
  <si>
    <t xml:space="preserve">Evidencias PIC_TLAJO_023</t>
  </si>
  <si>
    <t xml:space="preserve">OCUPANTE DE EJEMPLO 024</t>
  </si>
  <si>
    <t xml:space="preserve">MONTECABRA178EELPALOMAR45640TLAJOMULCO</t>
  </si>
  <si>
    <t xml:space="preserve">OCUPANTE DE EJEMPLO 025</t>
  </si>
  <si>
    <t xml:space="preserve">CERRODELAS7GOTAS188SANTAFE45653TLAJOMULCO</t>
  </si>
  <si>
    <t xml:space="preserve">Materiales BNC_HSBC_025</t>
  </si>
  <si>
    <t xml:space="preserve">Evidencias BNC_HSBC_025</t>
  </si>
  <si>
    <t xml:space="preserve">OCUPANTE DE EJEMPLO 026</t>
  </si>
  <si>
    <t xml:space="preserve">ESTELI225HACIENDASANTAFE45654TLAJOMULCO</t>
  </si>
  <si>
    <t xml:space="preserve">OCUPANTE DE EJEMPLO 027</t>
  </si>
  <si>
    <t xml:space="preserve">MONTEVIDEO262CHULAVISTA45645TLAJOMULCO</t>
  </si>
  <si>
    <t xml:space="preserve">Evidencias PIC_TLAJO_027</t>
  </si>
  <si>
    <t xml:space="preserve">OCUPANTE DE EJEMPLO 028</t>
  </si>
  <si>
    <t xml:space="preserve">AVBOGOTA299LOMAS45640TLAJOMULCO</t>
  </si>
  <si>
    <t xml:space="preserve">OCUPANTE DE EJEMPLO 029</t>
  </si>
  <si>
    <t xml:space="preserve">BLVDREPUBLICADEHONDURAS336LOMASDELSUR45653TLAJOMULCO NA MZ 29 LT 29 EDIF NA NIV 02</t>
  </si>
  <si>
    <t xml:space="preserve">Materiales PIC_TLAJO_029</t>
  </si>
  <si>
    <t xml:space="preserve">Evidencias PIC_TLAJO_029</t>
  </si>
  <si>
    <t xml:space="preserve">Oposicion - 3er Interesado</t>
  </si>
  <si>
    <t xml:space="preserve">OCUPANTE DE EJEMPLO 030</t>
  </si>
  <si>
    <t xml:space="preserve">PASEODELOSAGAVES373LOSAMIALES45654TLAJOMULCO</t>
  </si>
  <si>
    <t xml:space="preserve">OCUPANTE DE EJEMPLO 031</t>
  </si>
  <si>
    <t xml:space="preserve">VOLCANPARICUTIN410VILLASDELAHACIENDA45645TLAJOMULCO</t>
  </si>
  <si>
    <t xml:space="preserve">Materiales BNC_HSBC_031</t>
  </si>
  <si>
    <t xml:space="preserve">Evidencias BNC_HSBC_031</t>
  </si>
  <si>
    <t xml:space="preserve">OCUPANTE DE EJEMPLO 032</t>
  </si>
  <si>
    <t xml:space="preserve">LOMADORADA447ELPALOMAR45640TLAJOMULCO</t>
  </si>
  <si>
    <t xml:space="preserve">Materiales PIC_TLAJO_032</t>
  </si>
  <si>
    <t xml:space="preserve">OCUPANTE DE EJEMPLO 033</t>
  </si>
  <si>
    <t xml:space="preserve">REALDEMINAS484SANTAFE45653TLAJOMULCO</t>
  </si>
  <si>
    <t xml:space="preserve">OCUPANTE DE EJEMPLO 034</t>
  </si>
  <si>
    <t xml:space="preserve">CAMINOREAL121HACIENDASANTAFE45654TLAJOMULCO</t>
  </si>
  <si>
    <t xml:space="preserve">OCUPANTE DE EJEMPLO 035</t>
  </si>
  <si>
    <t xml:space="preserve">RINCONADADELSOL158CHULAVISTA45645TLAJOMULCO</t>
  </si>
  <si>
    <t xml:space="preserve">Materiales PIC_TLAJO_035</t>
  </si>
  <si>
    <t xml:space="preserve">Evidencias PIC_TLAJO_035</t>
  </si>
  <si>
    <t xml:space="preserve">OCUPANTE DE EJEMPLO 036</t>
  </si>
  <si>
    <t xml:space="preserve">HACIENDAVIEJA195LOMAS45640TLAJOMULCO NA MZ 6 LT 36 EDIF NA NIV 03</t>
  </si>
  <si>
    <t xml:space="preserve">OCUPANTE DE EJEMPLO 037</t>
  </si>
  <si>
    <t xml:space="preserve">PORTALDESANJUAN232LOMASDELSUR45653TLAJOMULCO</t>
  </si>
  <si>
    <t xml:space="preserve">Materiales PIC_TLAJO_037</t>
  </si>
  <si>
    <t xml:space="preserve">Evidencias PIC_TLAJO_037</t>
  </si>
  <si>
    <t xml:space="preserve">OCUPANTE DE EJEMPLO 038</t>
  </si>
  <si>
    <t xml:space="preserve">VALLEDETOLUCA269LOSAMIALES45654TLAJOMULCO</t>
  </si>
  <si>
    <t xml:space="preserve">Materiales PRV_INFVT_038</t>
  </si>
  <si>
    <t xml:space="preserve">Evidencias PRV_INFVT_038</t>
  </si>
  <si>
    <t xml:space="preserve">OCUPANTE DE EJEMPLO 039</t>
  </si>
  <si>
    <t xml:space="preserve">CERROGORDO306VILLASDELAHACIENDA45645TLAJOMULCO</t>
  </si>
  <si>
    <t xml:space="preserve">Evidencias PIC_TLAJO_039</t>
  </si>
  <si>
    <t xml:space="preserve">OCUPANTE DE EJEMPLO 040</t>
  </si>
  <si>
    <t xml:space="preserve">PRADOSUR343ELPALOMAR45640TLAJOMULCO</t>
  </si>
  <si>
    <t xml:space="preserve">Materiales PIC_TLAJO_040</t>
  </si>
  <si>
    <t xml:space="preserve">OCUPANTE DE EJEMPLO 041</t>
  </si>
  <si>
    <t xml:space="preserve">AVTEMUCO380SANTAFE45653TLAJOMULCO</t>
  </si>
  <si>
    <t xml:space="preserve">Materiales PIC_TLAJO_041</t>
  </si>
  <si>
    <t xml:space="preserve">Evidencias PIC_TLAJO_041</t>
  </si>
  <si>
    <t xml:space="preserve">OCUPANTE DE EJEMPLO 042</t>
  </si>
  <si>
    <t xml:space="preserve">CERRODELACRUZ417HACIENDASANTAFE45654TLAJOMULCO</t>
  </si>
  <si>
    <t xml:space="preserve">Evidencias BNC_HSBC_042</t>
  </si>
  <si>
    <t xml:space="preserve">OCUPANTE DE EJEMPLO 043</t>
  </si>
  <si>
    <t xml:space="preserve">CERROLAATALAYA454CHULAVISTA45645TLAJOMULCO NA MZ 13 LT 43 EDIF NA NIV 01</t>
  </si>
  <si>
    <t xml:space="preserve">OCUPANTE DE EJEMPLO 044</t>
  </si>
  <si>
    <t xml:space="preserve">MONTECABRA491LOMAS45640TLAJOMULCO</t>
  </si>
  <si>
    <t xml:space="preserve">OCUPANTE DE EJEMPLO 045</t>
  </si>
  <si>
    <t xml:space="preserve">CERRODELAS7GOTAS128LOMASDELSUR45653TLAJOMULCO</t>
  </si>
  <si>
    <t xml:space="preserve">OCUPANTE DE EJEMPLO 046</t>
  </si>
  <si>
    <t xml:space="preserve">ESTELI165LOSAMIALES45654TLAJOMULCO</t>
  </si>
  <si>
    <t xml:space="preserve">Materiales PRV_INFVT_046</t>
  </si>
  <si>
    <t xml:space="preserve">Evidencias PRV_INFVT_046</t>
  </si>
  <si>
    <t xml:space="preserve">OCUPANTE DE EJEMPLO 047</t>
  </si>
  <si>
    <t xml:space="preserve">MONTEVIDEO202VILLASDELAHACIENDA45645TLAJOMULCO</t>
  </si>
  <si>
    <t xml:space="preserve">Materiales PIC_TLAJO_047</t>
  </si>
  <si>
    <t xml:space="preserve">Evidencias PIC_TLAJO_047</t>
  </si>
  <si>
    <t xml:space="preserve">OCUPANTE DE EJEMPLO 048</t>
  </si>
  <si>
    <t xml:space="preserve">AVBOGOTA239ELPALOMAR45640TLAJOMULCO</t>
  </si>
  <si>
    <t xml:space="preserve">OCUPANTE DE EJEMPLO 049</t>
  </si>
  <si>
    <t xml:space="preserve">BLVDREPUBLICADEHONDURAS276SANTAFE45653TLAJOMULCO</t>
  </si>
  <si>
    <t xml:space="preserve">OCUPANTE DE EJEMPLO 050</t>
  </si>
  <si>
    <t xml:space="preserve">PASEODELOSAGAVES313HACIENDASANTAFE45654TLAJOMULCO NA MZ 20 LT 5 EDIF NA NIV 02</t>
  </si>
  <si>
    <t xml:space="preserve">OCUPANTE DE EJEMPLO 051</t>
  </si>
  <si>
    <t xml:space="preserve">VOLCANPARICUTIN350CHULAVISTA45645TLAJOMULCO</t>
  </si>
  <si>
    <t xml:space="preserve">OCUPANTE DE EJEMPLO 052</t>
  </si>
  <si>
    <t xml:space="preserve">LOMADORADA387LOMAS45640TLAJOMULCO</t>
  </si>
  <si>
    <t xml:space="preserve">OCUPANTE DE EJEMPLO 053</t>
  </si>
  <si>
    <t xml:space="preserve">REALDEMINAS424LOMASDELSUR45653TLAJOMULCO</t>
  </si>
  <si>
    <t xml:space="preserve">OCUPANTE DE EJEMPLO 054</t>
  </si>
  <si>
    <t xml:space="preserve">CAMINOREAL461LOSAMIALES45654TLAJOMULCO</t>
  </si>
  <si>
    <t xml:space="preserve">Evidencias PIC_TLAJO_054</t>
  </si>
  <si>
    <t xml:space="preserve">OCUPANTE DE EJEMPLO 055</t>
  </si>
  <si>
    <t xml:space="preserve">RINCONADADELSOL498VILLASDELAHACIENDA45645TLAJOMULCO</t>
  </si>
  <si>
    <t xml:space="preserve">Materiales PIC_TLAJO_055</t>
  </si>
  <si>
    <t xml:space="preserve">Evidencias PIC_TLAJO_055</t>
  </si>
  <si>
    <t xml:space="preserve">OCUPANTE DE EJEMPLO 056</t>
  </si>
  <si>
    <t xml:space="preserve">HACIENDAVIEJA135ELPALOMAR45640TLAJOMULCO</t>
  </si>
  <si>
    <t xml:space="preserve">Materiales PIC_TLAJO_056</t>
  </si>
  <si>
    <t xml:space="preserve">OCUPANTE DE EJEMPLO 057</t>
  </si>
  <si>
    <t xml:space="preserve">PORTALDESANJUAN172SANTAFE45653TLAJOMULCO NA MZ 27 LT 12 EDIF NA NIV 03</t>
  </si>
  <si>
    <t xml:space="preserve">Evidencias PIC_TLAJO_057</t>
  </si>
  <si>
    <t xml:space="preserve">OCUPANTE DE EJEMPLO 058</t>
  </si>
  <si>
    <t xml:space="preserve">VALLEDETOLUCA209HACIENDASANTAFE45654TLAJOMULCO</t>
  </si>
  <si>
    <t xml:space="preserve">Materiales PIC_TLAJO_058</t>
  </si>
  <si>
    <t xml:space="preserve">Evidencias PIC_TLAJO_058</t>
  </si>
  <si>
    <t xml:space="preserve">OCUPANTE DE EJEMPLO 059</t>
  </si>
  <si>
    <t xml:space="preserve">CERROGORDO246CHULAVISTA45645TLAJOMULCO</t>
  </si>
  <si>
    <t xml:space="preserve">Materiales BNC_HSBC_059</t>
  </si>
  <si>
    <t xml:space="preserve">Evidencias BNC_HSBC_059</t>
  </si>
  <si>
    <t xml:space="preserve">Pendiente por Asignar</t>
  </si>
  <si>
    <t xml:space="preserve">OCUPANTE DE EJEMPLO 060</t>
  </si>
  <si>
    <t xml:space="preserve">PRADOSUR283LOMAS45640TLAJOMULCO</t>
  </si>
  <si>
    <t xml:space="preserve">OCUPANTE DE EJEMPLO 061</t>
  </si>
  <si>
    <t xml:space="preserve">AVTEMUCO320LOMASDELSUR45653TLAJOMULCO</t>
  </si>
  <si>
    <t xml:space="preserve">OCUPANTE DE EJEMPLO 062</t>
  </si>
  <si>
    <t xml:space="preserve">CERRODELACRUZ357LOSAMIALES45654TLAJOMULCO</t>
  </si>
  <si>
    <t xml:space="preserve">Materiales PIC_TLAJO_062</t>
  </si>
  <si>
    <t xml:space="preserve">Evidencias PIC_TLAJO_062</t>
  </si>
  <si>
    <t xml:space="preserve">OCUPANTE DE EJEMPLO 063</t>
  </si>
  <si>
    <t xml:space="preserve">CERROLAATALAYA394VILLASDELAHACIENDA45645TLAJOMULCO</t>
  </si>
  <si>
    <t xml:space="preserve">Evidencias PIC_TLAJO_063</t>
  </si>
  <si>
    <t xml:space="preserve">OCUPANTE DE EJEMPLO 064</t>
  </si>
  <si>
    <t xml:space="preserve">MONTECABRA431ELPALOMAR45640TLAJOMULCO NA MZ 4 LT 19 EDIF NA NIV 01</t>
  </si>
  <si>
    <t xml:space="preserve">OCUPANTE DE EJEMPLO 065</t>
  </si>
  <si>
    <t xml:space="preserve">CERRODELAS7GOTAS468SANTAFE45653TLAJOMULCO</t>
  </si>
  <si>
    <t xml:space="preserve">OCUPANTE DE EJEMPLO 066</t>
  </si>
  <si>
    <t xml:space="preserve">ESTELI105HACIENDASANTAFE45654TLAJOMULCO</t>
  </si>
  <si>
    <t xml:space="preserve">OCUPANTE DE EJEMPLO 067</t>
  </si>
  <si>
    <t xml:space="preserve">MONTEVIDEO142CHULAVISTA45645TLAJOMULCO</t>
  </si>
  <si>
    <t xml:space="preserve">OCUPANTE DE EJEMPLO 068</t>
  </si>
  <si>
    <t xml:space="preserve">AVBOGOTA179LOMAS45640TLAJOMULCO</t>
  </si>
  <si>
    <t xml:space="preserve">Materiales PIC_TLAJO_068</t>
  </si>
  <si>
    <t xml:space="preserve">OCUPANTE DE EJEMPLO 069</t>
  </si>
  <si>
    <t xml:space="preserve">BLVDREPUBLICADEHONDURAS216LOMASDELSUR45653TLAJOMULCO</t>
  </si>
  <si>
    <t xml:space="preserve">OCUPANTE DE EJEMPLO 070</t>
  </si>
  <si>
    <t xml:space="preserve">PASEODELOSAGAVES253LOSAMIALES45654TLAJOMULCO</t>
  </si>
  <si>
    <t xml:space="preserve">Materiales PRV_INFVT_070</t>
  </si>
  <si>
    <t xml:space="preserve">Evidencias PRV_INFVT_070</t>
  </si>
  <si>
    <t xml:space="preserve">OCUPANTE DE EJEMPLO 071</t>
  </si>
  <si>
    <t xml:space="preserve">VOLCANPARICUTIN290VILLASDELAHACIENDA45645TLAJOMULCO NA MZ 11 LT 26 EDIF NA NIV 02</t>
  </si>
  <si>
    <t xml:space="preserve">OCUPANTE DE EJEMPLO 072</t>
  </si>
  <si>
    <t xml:space="preserve">LOMADORADA327ELPALOMAR45640TLAJOMULCO</t>
  </si>
  <si>
    <t xml:space="preserve">OCUPANTE DE EJEMPLO 073</t>
  </si>
  <si>
    <t xml:space="preserve">REALDEMINAS364SANTAFE45653TLAJOMULCO</t>
  </si>
  <si>
    <t xml:space="preserve">Materiales PIC_TLAJO_073</t>
  </si>
  <si>
    <t xml:space="preserve">Evidencias PIC_TLAJO_073</t>
  </si>
  <si>
    <t xml:space="preserve">OCUPANTE DE EJEMPLO 074</t>
  </si>
  <si>
    <t xml:space="preserve">CAMINOREAL401HACIENDASANTAFE45654TLAJOMULCO</t>
  </si>
  <si>
    <t xml:space="preserve">OCUPANTE DE EJEMPLO 075</t>
  </si>
  <si>
    <t xml:space="preserve">RINCONADADELSOL438CHULAVISTA45645TLAJOMULCO</t>
  </si>
  <si>
    <t xml:space="preserve">Evidencias PRV_INFVT_075</t>
  </si>
  <si>
    <t xml:space="preserve">OCUPANTE DE EJEMPLO 076</t>
  </si>
  <si>
    <t xml:space="preserve">HACIENDAVIEJA475LOMAS45640TLAJOMULCO</t>
  </si>
  <si>
    <t xml:space="preserve">Materiales PIC_TLAJO_076</t>
  </si>
  <si>
    <t xml:space="preserve">OCUPANTE DE EJEMPLO 077</t>
  </si>
  <si>
    <t xml:space="preserve">PORTALDESANJUAN112LOMASDELSUR45653TLAJOMULCO</t>
  </si>
  <si>
    <t xml:space="preserve">Materiales BNC_HSBC_077</t>
  </si>
  <si>
    <t xml:space="preserve">Evidencias BNC_HSBC_077</t>
  </si>
  <si>
    <t xml:space="preserve">OCUPANTE DE EJEMPLO 078</t>
  </si>
  <si>
    <t xml:space="preserve">VALLEDETOLUCA149LOSAMIALES45654TLAJOMULCO NA MZ 18 LT 33 EDIF NA NIV 03</t>
  </si>
  <si>
    <t xml:space="preserve">Evidencias PRV_INFVT_078</t>
  </si>
  <si>
    <t xml:space="preserve">OCUPANTE DE EJEMPLO 079</t>
  </si>
  <si>
    <t xml:space="preserve">CERROGORDO186VILLASDELAHACIENDA45645TLAJOMULCO</t>
  </si>
  <si>
    <t xml:space="preserve">CART_SOJI_TLAJO</t>
  </si>
  <si>
    <t xml:space="preserve">OCUPANTE DE EJEMPLO 080</t>
  </si>
  <si>
    <t xml:space="preserve">PRADOSUR223ELPALOMAR45640TLAJOMULCO</t>
  </si>
  <si>
    <t xml:space="preserve">Materiales CART_SOJI_TLAJO_080</t>
  </si>
  <si>
    <t xml:space="preserve">OCUPANTE DE EJEMPLO 081</t>
  </si>
  <si>
    <t xml:space="preserve">AVTEMUCO260SANTAFE45653TLAJOMULCO</t>
  </si>
  <si>
    <t xml:space="preserve">OCUPANTE DE EJEMPLO 082</t>
  </si>
  <si>
    <t xml:space="preserve">CERRODELACRUZ297HACIENDASANTAFE45654TLAJOMULCO</t>
  </si>
  <si>
    <t xml:space="preserve">OCUPANTE DE EJEMPLO 083</t>
  </si>
  <si>
    <t xml:space="preserve">CERROLAATALAYA334CHULAVISTA45645TLAJOMULCO</t>
  </si>
  <si>
    <t xml:space="preserve">Materiales PRV_INFVT_083</t>
  </si>
  <si>
    <t xml:space="preserve">Evidencias PRV_INFVT_083</t>
  </si>
  <si>
    <t xml:space="preserve">OCUPANTE DE EJEMPLO 084</t>
  </si>
  <si>
    <t xml:space="preserve">MONTECABRA371LOMAS45640TLAJOMULCO</t>
  </si>
  <si>
    <t xml:space="preserve">OCUPANTE DE EJEMPLO 085</t>
  </si>
  <si>
    <t xml:space="preserve">CERRODELAS7GOTAS408LOMASDELSUR45653TLAJOMULCO NA MZ 25 LT 40 EDIF NA NIV 01</t>
  </si>
  <si>
    <t xml:space="preserve">Materiales PIC_TLAJO_085</t>
  </si>
  <si>
    <t xml:space="preserve">Evidencias PIC_TLAJO_085</t>
  </si>
  <si>
    <t xml:space="preserve">OCUPANTE DE EJEMPLO 086</t>
  </si>
  <si>
    <t xml:space="preserve">ESTELI445LOSAMIALES45654TLAJOMULCO</t>
  </si>
  <si>
    <t xml:space="preserve">OCUPANTE DE EJEMPLO 087</t>
  </si>
  <si>
    <t xml:space="preserve">MONTEVIDEO482VILLASDELAHACIENDA45645TLAJOMULCO</t>
  </si>
  <si>
    <t xml:space="preserve">Evidencias PIC_TLAJO_087</t>
  </si>
  <si>
    <t xml:space="preserve">OCUPANTE DE EJEMPLO 088</t>
  </si>
  <si>
    <t xml:space="preserve">AVBOGOTA119ELPALOMAR45640TLAJOMULCO</t>
  </si>
  <si>
    <t xml:space="preserve">Materiales BNC_HSBC_088</t>
  </si>
  <si>
    <t xml:space="preserve">OCUPANTE DE EJEMPLO 089</t>
  </si>
  <si>
    <t xml:space="preserve">BLVDREPUBLICADEHONDURAS156SANTAFE45653TLAJOMULCO</t>
  </si>
  <si>
    <t xml:space="preserve">Materiales PIC_TLAJO_089</t>
  </si>
  <si>
    <t xml:space="preserve">Evidencias PIC_TLAJO_089</t>
  </si>
  <si>
    <t xml:space="preserve">OCUPANTE DE EJEMPLO 090</t>
  </si>
  <si>
    <t xml:space="preserve">PASEODELOSAGAVES193HACIENDASANTAFE45654TLAJOMULCO</t>
  </si>
  <si>
    <t xml:space="preserve">OCUPANTE DE EJEMPLO 091</t>
  </si>
  <si>
    <t xml:space="preserve">VOLCANPARICUTIN230CHULAVISTA45645TLAJOMULCO</t>
  </si>
  <si>
    <t xml:space="preserve">Materiales PIC_TLAJO_091</t>
  </si>
  <si>
    <t xml:space="preserve">Evidencias PIC_TLAJO_091</t>
  </si>
  <si>
    <t xml:space="preserve">OCUPANTE DE EJEMPLO 092</t>
  </si>
  <si>
    <t xml:space="preserve">LOMADORADA267LOMAS45640TLAJOMULCO NA MZ 2 LT 2 EDIF NA NIV 02</t>
  </si>
  <si>
    <t xml:space="preserve">OCUPANTE DE EJEMPLO 093</t>
  </si>
  <si>
    <t xml:space="preserve">REALDEMINAS304LOMASDELSUR45653TLAJOMULCO</t>
  </si>
  <si>
    <t xml:space="preserve">OCUPANTE DE EJEMPLO 094</t>
  </si>
  <si>
    <t xml:space="preserve">CAMINOREAL341LOSAMIALES45654TLAJOMULCO</t>
  </si>
  <si>
    <t xml:space="preserve">Materiales PIC_TLAJO_094</t>
  </si>
  <si>
    <t xml:space="preserve">Evidencias PIC_TLAJO_094</t>
  </si>
  <si>
    <t xml:space="preserve">OCUPANTE DE EJEMPLO 095</t>
  </si>
  <si>
    <t xml:space="preserve">RINCONADADELSOL378VILLASDELAHACIENDA45645TLAJOMULCO</t>
  </si>
  <si>
    <t xml:space="preserve">OCUPANTE DE EJEMPLO 096</t>
  </si>
  <si>
    <t xml:space="preserve">HACIENDAVIEJA415ELPALOMAR45640TLAJOMULCO</t>
  </si>
  <si>
    <t xml:space="preserve">OCUPANTE DE EJEMPLO 097</t>
  </si>
  <si>
    <t xml:space="preserve">PORTALDESANJUAN452SANTAFE45653TLAJOMULCO</t>
  </si>
  <si>
    <t xml:space="preserve">Materiales PIC_TLAJO_097</t>
  </si>
  <si>
    <t xml:space="preserve">Evidencias PIC_TLAJO_097</t>
  </si>
  <si>
    <t xml:space="preserve">OCUPANTE DE EJEMPLO 098</t>
  </si>
  <si>
    <t xml:space="preserve">VALLEDETOLUCA489HACIENDASANTAFE45654TLAJOMULCO</t>
  </si>
  <si>
    <t xml:space="preserve">Materiales PIC_TLAJO_098</t>
  </si>
  <si>
    <t xml:space="preserve">Evidencias PIC_TLAJO_098</t>
  </si>
  <si>
    <t xml:space="preserve">OCUPANTE DE EJEMPLO 099</t>
  </si>
  <si>
    <t xml:space="preserve">CERROGORDO126CHULAVISTA45645TLAJOMULCO NA MZ 9 LT 9 EDIF NA NIV 03</t>
  </si>
  <si>
    <t xml:space="preserve">OCUPANTE DE EJEMPLO 100</t>
  </si>
  <si>
    <t xml:space="preserve">PRADOSUR163LOMAS45640TLAJOMULCO</t>
  </si>
  <si>
    <t xml:space="preserve">OCUPANTE DE EJEMPLO 101</t>
  </si>
  <si>
    <t xml:space="preserve">AVTEMUCO200LOMASDELSUR45653TLAJOMULCO</t>
  </si>
  <si>
    <t xml:space="preserve">Materiales PIC_TLAJO_101</t>
  </si>
  <si>
    <t xml:space="preserve">Evidencias PIC_TLAJO_101</t>
  </si>
  <si>
    <t xml:space="preserve">OCUPANTE DE EJEMPLO 102</t>
  </si>
  <si>
    <t xml:space="preserve">CERRODELACRUZ237LOSAMIALES45654TLAJOMULCO</t>
  </si>
  <si>
    <t xml:space="preserve">OCUPANTE DE EJEMPLO 103</t>
  </si>
  <si>
    <t xml:space="preserve">CERROLAATALAYA274VILLASDELAHACIENDA45645TLAJOMULCO</t>
  </si>
  <si>
    <t xml:space="preserve">OCUPANTE DE EJEMPLO 104</t>
  </si>
  <si>
    <t xml:space="preserve">MONTECABRA311ELPALOMAR45640TLAJOMULCO</t>
  </si>
  <si>
    <t xml:space="preserve">Materiales PIC_TLAJO_104</t>
  </si>
  <si>
    <t xml:space="preserve">OCUPANTE DE EJEMPLO 105</t>
  </si>
  <si>
    <t xml:space="preserve">CERRODELAS7GOTAS348SANTAFE45653TLAJOMULCO</t>
  </si>
  <si>
    <t xml:space="preserve">Evidencias PIC_TLAJO_105</t>
  </si>
  <si>
    <t xml:space="preserve">OCUPANTE DE EJEMPLO 106</t>
  </si>
  <si>
    <t xml:space="preserve">ESTELI385HACIENDASANTAFE45654TLAJOMULCO NA MZ 16 LT 16 EDIF NA NIV 01</t>
  </si>
  <si>
    <t xml:space="preserve">OCUPANTE DE EJEMPLO 107</t>
  </si>
  <si>
    <t xml:space="preserve">MONTEVIDEO422CHULAVISTA45645TLAJOMULCO</t>
  </si>
  <si>
    <t xml:space="preserve">OCUPANTE DE EJEMPLO 108</t>
  </si>
  <si>
    <t xml:space="preserve">AVBOGOTA459LOMAS45640TLAJOMULCO</t>
  </si>
  <si>
    <t xml:space="preserve">OCUPANTE DE EJEMPLO 109</t>
  </si>
  <si>
    <t xml:space="preserve">BLVDREPUBLICADEHONDURAS496LOMASDELSUR45653TLAJOMULCO</t>
  </si>
  <si>
    <t xml:space="preserve">Materiales PIC_TLAJO_109</t>
  </si>
  <si>
    <t xml:space="preserve">Evidencias PIC_TLAJO_109</t>
  </si>
  <si>
    <t xml:space="preserve">OCUPANTE DE EJEMPLO 110</t>
  </si>
  <si>
    <t xml:space="preserve">PASEODELOSAGAVES133LOSAMIALES45654TLAJOMULCO</t>
  </si>
  <si>
    <t xml:space="preserve">OCUPANTE DE EJEMPLO 111</t>
  </si>
  <si>
    <t xml:space="preserve">VOLCANPARICUTIN170VILLASDELAHACIENDA45645TLAJOMULCO</t>
  </si>
  <si>
    <t xml:space="preserve">OCUPANTE DE EJEMPLO 112</t>
  </si>
  <si>
    <t xml:space="preserve">LOMADORADA207ELPALOMAR45640TLAJOMULCO</t>
  </si>
  <si>
    <t xml:space="preserve">Materiales PIC_TLAJO_112</t>
  </si>
  <si>
    <t xml:space="preserve">OCUPANTE DE EJEMPLO 113</t>
  </si>
  <si>
    <t xml:space="preserve">REALDEMINAS244SANTAFE45653TLAJOMULCO NA MZ 23 LT 23 EDIF NA NIV 02</t>
  </si>
  <si>
    <t xml:space="preserve">Materiales PIC_TLAJO_113</t>
  </si>
  <si>
    <t xml:space="preserve">Evidencias PIC_TLAJO_113</t>
  </si>
  <si>
    <t xml:space="preserve">OCUPANTE DE EJEMPLO 114</t>
  </si>
  <si>
    <t xml:space="preserve">CAMINOREAL281HACIENDASANTAFE45654TLAJOMULCO</t>
  </si>
  <si>
    <t xml:space="preserve">Evidencias PIC_TLAJO_114</t>
  </si>
  <si>
    <t xml:space="preserve">OCUPANTE DE EJEMPLO 115</t>
  </si>
  <si>
    <t xml:space="preserve">RINCONADADELSOL318CHULAVISTA45645TLAJOMULCO</t>
  </si>
  <si>
    <t xml:space="preserve">OCUPANTE DE EJEMPLO 116</t>
  </si>
  <si>
    <t xml:space="preserve">HACIENDAVIEJA355LOMAS45640TLAJOMULCO</t>
  </si>
  <si>
    <t xml:space="preserve">OCUPANTE DE EJEMPLO 117</t>
  </si>
  <si>
    <t xml:space="preserve">PORTALDESANJUAN392LOMASDELSUR45653TLAJOMULCO</t>
  </si>
  <si>
    <t xml:space="preserve">Evidencias CART_SOJI_TLAJO_117</t>
  </si>
  <si>
    <t xml:space="preserve">OCUPANTE DE EJEMPLO 118</t>
  </si>
  <si>
    <t xml:space="preserve">VALLEDETOLUCA429LOSAMIALES45654TLAJOMULCO</t>
  </si>
  <si>
    <t xml:space="preserve">Materiales PIC_TLAJO_118</t>
  </si>
  <si>
    <t xml:space="preserve">Evidencias PIC_TLAJO_118</t>
  </si>
  <si>
    <t xml:space="preserve">OCUPANTE DE EJEMPLO 119</t>
  </si>
  <si>
    <t xml:space="preserve">CERROGORDO466VILLASDELAHACIENDA45645TLAJOMULCO</t>
  </si>
  <si>
    <t xml:space="preserve">Materiales BNC_HSBC_119</t>
  </si>
  <si>
    <t xml:space="preserve">Evidencias BNC_HSBC_119</t>
  </si>
  <si>
    <t xml:space="preserve">OCUPANTE DE EJEMPLO 120</t>
  </si>
  <si>
    <t xml:space="preserve">PRADOSUR103ELPALOMAR45640TLAJOMULCO NA MZ 30 LT 30 EDIF NA NIV 03</t>
  </si>
  <si>
    <t xml:space="preserve">OCUPANTE DE EJEMPLO 121</t>
  </si>
  <si>
    <t xml:space="preserve">AVTEMUCO140SANTAFE45653TLAJOMULCO</t>
  </si>
  <si>
    <t xml:space="preserve">Materiales BNC_HSBC_121</t>
  </si>
  <si>
    <t xml:space="preserve">Evidencias BNC_HSBC_121</t>
  </si>
  <si>
    <t xml:space="preserve">OCUPANTE DE EJEMPLO 122</t>
  </si>
  <si>
    <t xml:space="preserve">CERRODELACRUZ177HACIENDASANTAFE45654TLAJOMULCO</t>
  </si>
  <si>
    <t xml:space="preserve">Materiales PIC_TLAJO_122</t>
  </si>
  <si>
    <t xml:space="preserve">Evidencias PIC_TLAJO_122</t>
  </si>
  <si>
    <t xml:space="preserve">OCUPANTE DE EJEMPLO 123</t>
  </si>
  <si>
    <t xml:space="preserve">CERROLAATALAYA214CHULAVISTA45645TLAJOMULCO</t>
  </si>
  <si>
    <t xml:space="preserve">OCUPANTE DE EJEMPLO 124</t>
  </si>
  <si>
    <t xml:space="preserve">MONTECABRA251LOMAS45640TLAJOMULCO</t>
  </si>
  <si>
    <t xml:space="preserve">Materiales PIC_TLAJO_124</t>
  </si>
  <si>
    <t xml:space="preserve">OCUPANTE DE EJEMPLO 125</t>
  </si>
  <si>
    <t xml:space="preserve">CERRODELAS7GOTAS288LOMASDELSUR45653TLAJOMULCO</t>
  </si>
  <si>
    <t xml:space="preserve">Materiales PRV_INFVT_125</t>
  </si>
  <si>
    <t xml:space="preserve">Evidencias PRV_INFVT_125</t>
  </si>
  <si>
    <t xml:space="preserve">Reciclada</t>
  </si>
  <si>
    <t xml:space="preserve">OCUPANTE DE EJEMPLO 126</t>
  </si>
  <si>
    <t xml:space="preserve">ESTELI325LOSAMIALES45654TLAJOMULCO</t>
  </si>
  <si>
    <t xml:space="preserve">OCUPANTE DE EJEMPLO 127</t>
  </si>
  <si>
    <t xml:space="preserve">MONTEVIDEO362VILLASDELAHACIENDA45645TLAJOMULCO NA MZ 7 LT 37 EDIF NA NIV 01</t>
  </si>
  <si>
    <t xml:space="preserve">OCUPANTE DE EJEMPLO 128</t>
  </si>
  <si>
    <t xml:space="preserve">AVBOGOTA399ELPALOMAR45640TLAJOMULCO</t>
  </si>
  <si>
    <t xml:space="preserve">OCUPANTE DE EJEMPLO 129</t>
  </si>
  <si>
    <t xml:space="preserve">BLVDREPUBLICADEHONDURAS436SANTAFE45653TLAJOMULCO</t>
  </si>
  <si>
    <t xml:space="preserve">OCUPANTE DE EJEMPLO 130</t>
  </si>
  <si>
    <t xml:space="preserve">PASEODELOSAGAVES473HACIENDASANTAFE45654TLAJOMULCO</t>
  </si>
  <si>
    <t xml:space="preserve">Materiales BNC_HSBC_130</t>
  </si>
  <si>
    <t xml:space="preserve">Evidencias BNC_HSBC_130</t>
  </si>
  <si>
    <t xml:space="preserve">OCUPANTE DE EJEMPLO 131</t>
  </si>
  <si>
    <t xml:space="preserve">VOLCANPARICUTIN110CHULAVISTA45645TLAJOMULCO</t>
  </si>
  <si>
    <t xml:space="preserve">OCUPANTE DE EJEMPLO 132</t>
  </si>
  <si>
    <t xml:space="preserve">LOMADORADA147LOMAS45640TLAJOMULCO</t>
  </si>
  <si>
    <t xml:space="preserve">OCUPANTE DE EJEMPLO 133</t>
  </si>
  <si>
    <t xml:space="preserve">REALDEMINAS184LOMASDELSUR45653TLAJOMULCO</t>
  </si>
  <si>
    <t xml:space="preserve">Materiales PRV_INFVT_133</t>
  </si>
  <si>
    <t xml:space="preserve">Evidencias PRV_INFVT_133</t>
  </si>
  <si>
    <t xml:space="preserve">OCUPANTE DE EJEMPLO 134</t>
  </si>
  <si>
    <t xml:space="preserve">CAMINOREAL221LOSAMIALES45654TLAJOMULCO NA MZ 14 LT 44 EDIF NA NIV 02</t>
  </si>
  <si>
    <t xml:space="preserve">Materiales BNC_HSBC_134</t>
  </si>
  <si>
    <t xml:space="preserve">Evidencias BNC_HSBC_134</t>
  </si>
  <si>
    <t xml:space="preserve">OCUPANTE DE EJEMPLO 135</t>
  </si>
  <si>
    <t xml:space="preserve">RINCONADADELSOL258VILLASDELAHACIENDA45645TLAJOMULCO</t>
  </si>
  <si>
    <t xml:space="preserve">Evidencias PRV_INFVT_135</t>
  </si>
  <si>
    <t xml:space="preserve">OCUPANTE DE EJEMPLO 136</t>
  </si>
  <si>
    <t xml:space="preserve">HACIENDAVIEJA295ELPALOMAR45640TLAJOMULCO</t>
  </si>
  <si>
    <t xml:space="preserve">Materiales PIC_TLAJO_136</t>
  </si>
  <si>
    <t xml:space="preserve">OCUPANTE DE EJEMPLO 137</t>
  </si>
  <si>
    <t xml:space="preserve">PORTALDESANJUAN332SANTAFE45653TLAJOMULCO</t>
  </si>
  <si>
    <t xml:space="preserve">Materiales PRV_INFVT_137</t>
  </si>
  <si>
    <t xml:space="preserve">Evidencias PRV_INFVT_137</t>
  </si>
  <si>
    <t xml:space="preserve">OCUPANTE DE EJEMPLO 138</t>
  </si>
  <si>
    <t xml:space="preserve">VALLEDETOLUCA369HACIENDASANTAFE45654TLAJOMULCO</t>
  </si>
  <si>
    <t xml:space="preserve">Evidencias PRV_INFVT_138</t>
  </si>
  <si>
    <t xml:space="preserve">OCUPANTE DE EJEMPLO 139</t>
  </si>
  <si>
    <t xml:space="preserve">CERROGORDO406CHULAVISTA45645TLAJOMULCO</t>
  </si>
  <si>
    <t xml:space="preserve">OCUPANTE DE EJEMPLO 140</t>
  </si>
  <si>
    <t xml:space="preserve">PRADOSUR443LOMAS45640TLAJOMULCO</t>
  </si>
  <si>
    <t xml:space="preserve">Materiales PIC_TLAJO_140</t>
  </si>
  <si>
    <t xml:space="preserve">OCUPANTE DE EJEMPLO 141</t>
  </si>
  <si>
    <t xml:space="preserve">AVTEMUCO480LOMASDELSUR45653TLAJOMULCO NA MZ 21 LT 6 EDIF NA NIV 03</t>
  </si>
  <si>
    <t xml:space="preserve">OCUPANTE DE EJEMPLO 142</t>
  </si>
  <si>
    <t xml:space="preserve">CERRODELACRUZ117LOSAMIALES45654TLAJOMULCO</t>
  </si>
  <si>
    <t xml:space="preserve">OCUPANTE DE EJEMPLO 143</t>
  </si>
  <si>
    <t xml:space="preserve">CERROLAATALAYA154VILLASDELAHACIENDA45645TLAJOMULCO</t>
  </si>
  <si>
    <t xml:space="preserve">Materiales BNC_HSBC_143</t>
  </si>
  <si>
    <t xml:space="preserve">Evidencias BNC_HSBC_143</t>
  </si>
  <si>
    <t xml:space="preserve">OCUPANTE DE EJEMPLO 144</t>
  </si>
  <si>
    <t xml:space="preserve">MONTECABRA191ELPALOMAR45640TLAJOMULCO</t>
  </si>
  <si>
    <t xml:space="preserve">OCUPANTE DE EJEMPLO 145</t>
  </si>
  <si>
    <t xml:space="preserve">CERRODELAS7GOTAS228SANTAFE45653TLAJOMULCO</t>
  </si>
  <si>
    <t xml:space="preserve">Materiales BNC_HSBC_145</t>
  </si>
  <si>
    <t xml:space="preserve">Evidencias BNC_HSBC_145</t>
  </si>
  <si>
    <t xml:space="preserve">OCUPANTE DE EJEMPLO 146</t>
  </si>
  <si>
    <t xml:space="preserve">ESTELI265HACIENDASANTAFE45654TLAJOMULCO</t>
  </si>
  <si>
    <t xml:space="preserve">OCUPANTE DE EJEMPLO 147</t>
  </si>
  <si>
    <t xml:space="preserve">MONTEVIDEO302CHULAVISTA45645TLAJOMULCO</t>
  </si>
  <si>
    <t xml:space="preserve">Evidencias PRV_INFVT_147</t>
  </si>
  <si>
    <t xml:space="preserve">OCUPANTE DE EJEMPLO 148</t>
  </si>
  <si>
    <t xml:space="preserve">AVBOGOTA339LOMAS45640TLAJOMULCO NA MZ 28 LT 13 EDIF NA NIV 01</t>
  </si>
  <si>
    <t xml:space="preserve">OCUPANTE DE EJEMPLO 149</t>
  </si>
  <si>
    <t xml:space="preserve">BLVDREPUBLICADEHONDURAS376LOMASDELSUR45653TLAJOMULCO</t>
  </si>
  <si>
    <t xml:space="preserve">OCUPANTE DE EJEMPLO 150</t>
  </si>
  <si>
    <t xml:space="preserve">PASEODELOSAGAVES413LOSAMIALES45654TLAJOMULCO</t>
  </si>
  <si>
    <t xml:space="preserve">Evidencias PIC_TLAJO_150</t>
  </si>
  <si>
    <t xml:space="preserve">OCUPANTE DE EJEMPLO 151</t>
  </si>
  <si>
    <t xml:space="preserve">VOLCANPARICUTIN450VILLASDELAHACIENDA45645TLAJOMULCO</t>
  </si>
  <si>
    <t xml:space="preserve">OCUPANTE DE EJEMPLO 152</t>
  </si>
  <si>
    <t xml:space="preserve">LOMADORADA487ELPALOMAR45640TLAJOMULCO</t>
  </si>
  <si>
    <t xml:space="preserve">Materiales PRV_INFVT_152</t>
  </si>
  <si>
    <t xml:space="preserve">OCUPANTE DE EJEMPLO 153</t>
  </si>
  <si>
    <t xml:space="preserve">REALDEMINAS124SANTAFE45653TLAJOMULCO</t>
  </si>
  <si>
    <t xml:space="preserve">OCUPANTE DE EJEMPLO 154</t>
  </si>
  <si>
    <t xml:space="preserve">CAMINOREAL161HACIENDASANTAFE45654TLAJOMULCO</t>
  </si>
  <si>
    <t xml:space="preserve">Materiales PRV_INFVT_154</t>
  </si>
  <si>
    <t xml:space="preserve">Evidencias PRV_INFVT_154</t>
  </si>
  <si>
    <t xml:space="preserve">OCUPANTE DE EJEMPLO 155</t>
  </si>
  <si>
    <t xml:space="preserve">RINCONADADELSOL198CHULAVISTA45645TLAJOMULCO NA MZ 5 LT 20 EDIF NA NIV 02</t>
  </si>
  <si>
    <t xml:space="preserve">OCUPANTE DE EJEMPLO 156</t>
  </si>
  <si>
    <t xml:space="preserve">HACIENDAVIEJA235LOMAS45640TLAJOMULCO</t>
  </si>
  <si>
    <t xml:space="preserve">OCUPANTE DE EJEMPLO 157</t>
  </si>
  <si>
    <t xml:space="preserve">PORTALDESANJUAN272LOMASDELSUR45653TLAJOMULCO</t>
  </si>
  <si>
    <t xml:space="preserve">Materiales PRV_INFVT_157</t>
  </si>
  <si>
    <t xml:space="preserve">Evidencias PRV_INFVT_157</t>
  </si>
  <si>
    <t xml:space="preserve">OCUPANTE DE EJEMPLO 158</t>
  </si>
  <si>
    <t xml:space="preserve">VALLEDETOLUCA309LOSAMIALES45654TLAJOMULCO</t>
  </si>
  <si>
    <t xml:space="preserve">Materiales BNC_HSBC_158</t>
  </si>
  <si>
    <t xml:space="preserve">Evidencias BNC_HSBC_158</t>
  </si>
  <si>
    <t xml:space="preserve">OCUPANTE DE EJEMPLO 159</t>
  </si>
  <si>
    <t xml:space="preserve">CERROGORDO346VILLASDELAHACIENDA45645TLAJOMULCO</t>
  </si>
  <si>
    <t xml:space="preserve">OCUPANTE DE EJEMPLO 160</t>
  </si>
  <si>
    <t xml:space="preserve">PRADOSUR383ELPALOMAR45640TLAJOMULCO</t>
  </si>
  <si>
    <t xml:space="preserve">Materiales BNC_HSBC_160</t>
  </si>
  <si>
    <t xml:space="preserve">OCUPANTE DE EJEMPLO 161</t>
  </si>
  <si>
    <t xml:space="preserve">AVTEMUCO420SANTAFE45653TLAJOMULCO</t>
  </si>
  <si>
    <t xml:space="preserve">OCUPANTE DE EJEMPLO 162</t>
  </si>
  <si>
    <t xml:space="preserve">CERRODELACRUZ457HACIENDASANTAFE45654TLAJOMULCO NA MZ 12 LT 27 EDIF NA NIV 03</t>
  </si>
  <si>
    <t xml:space="preserve">Evidencias PIC_TLAJO_162</t>
  </si>
  <si>
    <t xml:space="preserve">OCUPANTE DE EJEMPLO 163</t>
  </si>
  <si>
    <t xml:space="preserve">CERROLAATALAYA494CHULAVISTA45645TLAJOMULCO</t>
  </si>
  <si>
    <t xml:space="preserve">Materiales PIC_TLAJO_163</t>
  </si>
  <si>
    <t xml:space="preserve">Evidencias PIC_TLAJO_163</t>
  </si>
  <si>
    <t xml:space="preserve">OCUPANTE DE EJEMPLO 164</t>
  </si>
  <si>
    <t xml:space="preserve">MONTECABRA131LOMAS45640TLAJOMULCO</t>
  </si>
  <si>
    <t xml:space="preserve">OCUPANTE DE EJEMPLO 165</t>
  </si>
  <si>
    <t xml:space="preserve">CERRODELAS7GOTAS168LOMASDELSUR45653TLAJOMULCO</t>
  </si>
  <si>
    <t xml:space="preserve">OCUPANTE DE EJEMPLO 166</t>
  </si>
  <si>
    <t xml:space="preserve">ESTELI205LOSAMIALES45654TLAJOMULCO</t>
  </si>
  <si>
    <t xml:space="preserve">OCUPANTE DE EJEMPLO 167</t>
  </si>
  <si>
    <t xml:space="preserve">MONTEVIDEO242VILLASDELAHACIENDA45645TLAJOMULCO</t>
  </si>
  <si>
    <t xml:space="preserve">OCUPANTE DE EJEMPLO 168</t>
  </si>
  <si>
    <t xml:space="preserve">AVBOGOTA279ELPALOMAR45640TLAJOMULCO</t>
  </si>
  <si>
    <t xml:space="preserve">OCUPANTE DE EJEMPLO 169</t>
  </si>
  <si>
    <t xml:space="preserve">BLVDREPUBLICADEHONDURAS316SANTAFE45653TLAJOMULCO NA MZ 19 LT 34 EDIF NA NIV 01</t>
  </si>
  <si>
    <t xml:space="preserve">OCUPANTE DE EJEMPLO 170</t>
  </si>
  <si>
    <t xml:space="preserve">PASEODELOSAGAVES353HACIENDASANTAFE45654TLAJOMULCO</t>
  </si>
  <si>
    <t xml:space="preserve">Materiales PIC_TLAJO_170</t>
  </si>
  <si>
    <t xml:space="preserve">Evidencias PIC_TLAJO_170</t>
  </si>
  <si>
    <t xml:space="preserve">OCUPANTE DE EJEMPLO 171</t>
  </si>
  <si>
    <t xml:space="preserve">VOLCANPARICUTIN390CHULAVISTA45645TLAJOMULCO</t>
  </si>
  <si>
    <t xml:space="preserve">Evidencias BNC_HSBC_171</t>
  </si>
  <si>
    <t xml:space="preserve">OCUPANTE DE EJEMPLO 172</t>
  </si>
  <si>
    <t xml:space="preserve">LOMADORADA427LOMAS45640TLAJOMULCO</t>
  </si>
  <si>
    <t xml:space="preserve">OCUPANTE DE EJEMPLO 173</t>
  </si>
  <si>
    <t xml:space="preserve">REALDEMINAS464LOMASDELSUR45653TLAJOMULCO</t>
  </si>
  <si>
    <t xml:space="preserve">Materiales PIC_TLAJO_173</t>
  </si>
  <si>
    <t xml:space="preserve">Evidencias PIC_TLAJO_173</t>
  </si>
  <si>
    <t xml:space="preserve">OCUPANTE DE EJEMPLO 174</t>
  </si>
  <si>
    <t xml:space="preserve">CAMINOREAL101LOSAMIALES45654TLAJOMULCO</t>
  </si>
  <si>
    <t xml:space="preserve">OCUPANTE DE EJEMPLO 175</t>
  </si>
  <si>
    <t xml:space="preserve">RINCONADADELSOL138VILLASDELAHACIENDA45645TLAJOMULCO</t>
  </si>
  <si>
    <t xml:space="preserve">OCUPANTE DE EJEMPLO 176</t>
  </si>
  <si>
    <t xml:space="preserve">HACIENDAVIEJA175ELPALOMAR45640TLAJOMULCO NA MZ 26 LT 41 EDIF NA NIV 02</t>
  </si>
  <si>
    <t xml:space="preserve">OCUPANTE DE EJEMPLO 177</t>
  </si>
  <si>
    <t xml:space="preserve">PORTALDESANJUAN212SANTAFE45653TLAJOMULCO</t>
  </si>
  <si>
    <t xml:space="preserve">OCUPANTE DE EJEMPLO 178</t>
  </si>
  <si>
    <t xml:space="preserve">VALLEDETOLUCA249HACIENDASANTAFE45654TLAJOMULCO</t>
  </si>
  <si>
    <t xml:space="preserve">OCUPANTE DE EJEMPLO 179</t>
  </si>
  <si>
    <t xml:space="preserve">CERROGORDO286CHULAVISTA45645TLAJOMULCO</t>
  </si>
  <si>
    <t xml:space="preserve">OCUPANTE DE EJEMPLO 180</t>
  </si>
  <si>
    <t xml:space="preserve">PRADOSUR323LOMAS45640TLAJOMULCO</t>
  </si>
  <si>
    <t xml:space="preserve">OCUPANTE DE EJEMPLO 181</t>
  </si>
  <si>
    <t xml:space="preserve">AVTEMUCO360LOMASDELSUR45653TLAJOMULCO</t>
  </si>
  <si>
    <t xml:space="preserve">OCUPANTE DE EJEMPLO 182</t>
  </si>
  <si>
    <t xml:space="preserve">CERRODELACRUZ397LOSAMIALES45654TLAJOMULCO</t>
  </si>
  <si>
    <t xml:space="preserve">OCUPANTE DE EJEMPLO 183</t>
  </si>
  <si>
    <t xml:space="preserve">CERROLAATALAYA434VILLASDELAHACIENDA45645TLAJOMULCO NA MZ 3 LT 3 EDIF NA NIV 03</t>
  </si>
  <si>
    <t xml:space="preserve">Evidencias PIC_TLAJO_183</t>
  </si>
  <si>
    <t xml:space="preserve">OCUPANTE DE EJEMPLO 184</t>
  </si>
  <si>
    <t xml:space="preserve">MONTECABRA471ELPALOMAR45640TLAJOMULCO</t>
  </si>
  <si>
    <t xml:space="preserve">Materiales PIC_TLAJO_184</t>
  </si>
  <si>
    <t xml:space="preserve">OCUPANTE DE EJEMPLO 185</t>
  </si>
  <si>
    <t xml:space="preserve">CERRODELAS7GOTAS108SANTAFE45653TLAJOMULCO</t>
  </si>
  <si>
    <t xml:space="preserve">Materiales PIC_TLAJO_185</t>
  </si>
  <si>
    <t xml:space="preserve">Evidencias PIC_TLAJO_185</t>
  </si>
  <si>
    <t xml:space="preserve">OCUPANTE DE EJEMPLO 186</t>
  </si>
  <si>
    <t xml:space="preserve">ESTELI145HACIENDASANTAFE45654TLAJOMULCO</t>
  </si>
  <si>
    <t xml:space="preserve">Evidencias PIC_TLAJO_186</t>
  </si>
  <si>
    <t xml:space="preserve">OCUPANTE DE EJEMPLO 187</t>
  </si>
  <si>
    <t xml:space="preserve">MONTEVIDEO182CHULAVISTA45645TLAJOMULCO</t>
  </si>
  <si>
    <t xml:space="preserve">OCUPANTE DE EJEMPLO 188</t>
  </si>
  <si>
    <t xml:space="preserve">AVBOGOTA219LOMAS45640TLAJOMULCO</t>
  </si>
  <si>
    <t xml:space="preserve">Materiales PIC_TLAJO_188</t>
  </si>
  <si>
    <t xml:space="preserve">OCUPANTE DE EJEMPLO 189</t>
  </si>
  <si>
    <t xml:space="preserve">BLVDREPUBLICADEHONDURAS256LOMASDELSUR45653TLAJOMULCO</t>
  </si>
  <si>
    <t xml:space="preserve">Evidencias PRV_INFVT_189</t>
  </si>
  <si>
    <t xml:space="preserve">OCUPANTE DE EJEMPLO 190</t>
  </si>
  <si>
    <t xml:space="preserve">PASEODELOSAGAVES293LOSAMIALES45654TLAJOMULCO NA MZ 10 LT 10 EDIF NA NIV 01</t>
  </si>
  <si>
    <t xml:space="preserve">Materiales PIC_TLAJO_190</t>
  </si>
  <si>
    <t xml:space="preserve">Evidencias PIC_TLAJO_190</t>
  </si>
  <si>
    <t xml:space="preserve">OCUPANTE DE EJEMPLO 191</t>
  </si>
  <si>
    <t xml:space="preserve">VOLCANPARICUTIN330VILLASDELAHACIENDA45645TLAJOMULCO</t>
  </si>
  <si>
    <t xml:space="preserve">OCUPANTE DE EJEMPLO 192</t>
  </si>
  <si>
    <t xml:space="preserve">LOMADORADA367ELPALOMAR45640TLAJOMULCO</t>
  </si>
  <si>
    <t xml:space="preserve">OCUPANTE DE EJEMPLO 193</t>
  </si>
  <si>
    <t xml:space="preserve">REALDEMINAS404SANTAFE45653TLAJOMULCO</t>
  </si>
  <si>
    <t xml:space="preserve">Materiales PRV_INFVT_193</t>
  </si>
  <si>
    <t xml:space="preserve">Evidencias PRV_INFVT_193</t>
  </si>
  <si>
    <t xml:space="preserve">OCUPANTE DE EJEMPLO 194</t>
  </si>
  <si>
    <t xml:space="preserve">CAMINOREAL441HACIENDASANTAFE45654TLAJOMULCO</t>
  </si>
  <si>
    <t xml:space="preserve">OCUPANTE DE EJEMPLO 195</t>
  </si>
  <si>
    <t xml:space="preserve">RINCONADADELSOL478CHULAVISTA45645TLAJOMULCO</t>
  </si>
  <si>
    <t xml:space="preserve">Evidencias PRV_INFVT_195</t>
  </si>
  <si>
    <t xml:space="preserve">OCUPANTE DE EJEMPLO 196</t>
  </si>
  <si>
    <t xml:space="preserve">HACIENDAVIEJA115LOMAS45640TLAJOMULCO</t>
  </si>
  <si>
    <t xml:space="preserve">OCUPANTE DE EJEMPLO 197</t>
  </si>
  <si>
    <t xml:space="preserve">PORTALDESANJUAN152LOMASDELSUR45653TLAJOMULCO NA MZ 17 LT 17 EDIF NA NIV 02</t>
  </si>
  <si>
    <t xml:space="preserve">Materiales PIC_TLAJO_197</t>
  </si>
  <si>
    <t xml:space="preserve">Evidencias PIC_TLAJO_197</t>
  </si>
  <si>
    <t xml:space="preserve">OCUPANTE DE EJEMPLO 198</t>
  </si>
  <si>
    <t xml:space="preserve">VALLEDETOLUCA189LOSAMIALES45654TLAJOMULCO</t>
  </si>
  <si>
    <t xml:space="preserve">OCUPANTE DE EJEMPLO 199</t>
  </si>
  <si>
    <t xml:space="preserve">CERROGORDO226VILLASDELAHACIENDA45645TLAJOMULCO</t>
  </si>
  <si>
    <t xml:space="preserve">OCUPANTE DE EJEMPLO 200</t>
  </si>
  <si>
    <t xml:space="preserve">PRADOSUR263ELPALOMAR45640TLAJOMULCO</t>
  </si>
  <si>
    <t xml:space="preserve">Materiales PIC_TLAJO_200</t>
  </si>
  <si>
    <t xml:space="preserve">OCUPANTE DE EJEMPLO 201</t>
  </si>
  <si>
    <t xml:space="preserve">AVTEMUCO300SANTAFE45653TLAJOMULCO</t>
  </si>
  <si>
    <t xml:space="preserve">OCUPANTE DE EJEMPLO 202</t>
  </si>
  <si>
    <t xml:space="preserve">CERRODELACRUZ337HACIENDASANTAFE45654TLAJOMULCO</t>
  </si>
  <si>
    <t xml:space="preserve">Materiales BNC_HSBC_202</t>
  </si>
  <si>
    <t xml:space="preserve">Evidencias BNC_HSBC_202</t>
  </si>
  <si>
    <t xml:space="preserve">OCUPANTE DE EJEMPLO 203</t>
  </si>
  <si>
    <t xml:space="preserve">CERROLAATALAYA374CHULAVISTA45645TLAJOMULCO</t>
  </si>
  <si>
    <t xml:space="preserve">OCUPANTE DE EJEMPLO 204</t>
  </si>
  <si>
    <t xml:space="preserve">MONTECABRA411LOMAS45640TLAJOMULCO NA MZ 24 LT 24 EDIF NA NIV 03</t>
  </si>
  <si>
    <t xml:space="preserve">OCUPANTE DE EJEMPLO 205</t>
  </si>
  <si>
    <t xml:space="preserve">CERRODELAS7GOTAS448LOMASDELSUR45653TLAJOMULCO</t>
  </si>
  <si>
    <t xml:space="preserve">Materiales PRV_INFVT_205</t>
  </si>
  <si>
    <t xml:space="preserve">Evidencias PRV_INFVT_205</t>
  </si>
  <si>
    <t xml:space="preserve">OCUPANTE DE EJEMPLO 206</t>
  </si>
  <si>
    <t xml:space="preserve">ESTELI485LOSAMIALES45654TLAJOMULCO</t>
  </si>
  <si>
    <t xml:space="preserve">Materiales PIC_TLAJO_206</t>
  </si>
  <si>
    <t xml:space="preserve">Evidencias PIC_TLAJO_206</t>
  </si>
  <si>
    <t xml:space="preserve">OCUPANTE DE EJEMPLO 207</t>
  </si>
  <si>
    <t xml:space="preserve">MONTEVIDEO122VILLASDELAHACIENDA45645TLAJOMULCO</t>
  </si>
  <si>
    <t xml:space="preserve">OCUPANTE DE EJEMPLO 208</t>
  </si>
  <si>
    <t xml:space="preserve">AVBOGOTA159ELPALOMAR45640TLAJOMULCO</t>
  </si>
  <si>
    <t xml:space="preserve">OCUPANTE DE EJEMPLO 209</t>
  </si>
  <si>
    <t xml:space="preserve">BLVDREPUBLICADEHONDURAS196SANTAFE45653TLAJOMULCO</t>
  </si>
  <si>
    <t xml:space="preserve">OCUPANTE DE EJEMPLO 210</t>
  </si>
  <si>
    <t xml:space="preserve">PASEODELOSAGAVES233HACIENDASANTAFE45654TLAJOMULCO</t>
  </si>
  <si>
    <t xml:space="preserve">OCUPANTE DE EJEMPLO 211</t>
  </si>
  <si>
    <t xml:space="preserve">VOLCANPARICUTIN270CHULAVISTA45645TLAJOMULCO NA MZ 1 LT 31 EDIF NA NIV 01</t>
  </si>
  <si>
    <t xml:space="preserve">Materiales PRV_INFVT_211</t>
  </si>
  <si>
    <t xml:space="preserve">Evidencias PRV_INFVT_211</t>
  </si>
  <si>
    <t xml:space="preserve">OCUPANTE DE EJEMPLO 212</t>
  </si>
  <si>
    <t xml:space="preserve">LOMADORADA307LOMAS45640TLAJOMULCO</t>
  </si>
  <si>
    <t xml:space="preserve">OCUPANTE DE EJEMPLO 213</t>
  </si>
  <si>
    <t xml:space="preserve">REALDEMINAS344LOMASDELSUR45653TLAJOMULCO</t>
  </si>
  <si>
    <t xml:space="preserve">OCUPANTE DE EJEMPLO 214</t>
  </si>
  <si>
    <t xml:space="preserve">CAMINOREAL381LOSAMIALES45654TLAJOMULCO</t>
  </si>
  <si>
    <t xml:space="preserve">Materiales PIC_TLAJO_214</t>
  </si>
  <si>
    <t xml:space="preserve">Evidencias PIC_TLAJO_214</t>
  </si>
  <si>
    <t xml:space="preserve">CLAVE</t>
  </si>
  <si>
    <t xml:space="preserve">NOMBRE DE LA CARTERA</t>
  </si>
  <si>
    <t xml:space="preserve">PREFIJO</t>
  </si>
  <si>
    <t xml:space="preserve">C1</t>
  </si>
  <si>
    <t xml:space="preserve">PIC_TLAJO_</t>
  </si>
  <si>
    <t xml:space="preserve">C2</t>
  </si>
  <si>
    <t xml:space="preserve">PRV_INFVT_</t>
  </si>
  <si>
    <t xml:space="preserve">C3</t>
  </si>
  <si>
    <t xml:space="preserve">BNC_HSBC_</t>
  </si>
  <si>
    <t xml:space="preserve">C4</t>
  </si>
  <si>
    <t xml:space="preserve">CART_SOJI_TLAJO_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</si>
</sst>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H1" Type="http://schemas.openxmlformats.org/officeDocument/2006/relationships/hyperlink" Target="https://drive.google.com/drive/folders/1MAT0000ejemplotapeosthiqa000" TargetMode="External"/><Relationship Id="rIdH2" Type="http://schemas.openxmlformats.org/officeDocument/2006/relationships/hyperlink" Target="https://drive.google.com/drive/folders/1EVI0000ejemploevidenciasthq0" TargetMode="External"/><Relationship Id="rIdH3" Type="http://schemas.openxmlformats.org/officeDocument/2006/relationships/hyperlink" Target="https://drive.google.com/drive/folders/1EVI0002ejemploevidenciasthq0" TargetMode="External"/><Relationship Id="rIdH4" Type="http://schemas.openxmlformats.org/officeDocument/2006/relationships/hyperlink" Target="https://drive.google.com/drive/folders/1EVI0005ejemploevidenciasthq0" TargetMode="External"/><Relationship Id="rIdH5" Type="http://schemas.openxmlformats.org/officeDocument/2006/relationships/hyperlink" Target="https://drive.google.com/drive/folders/1MAT0009ejemplotapeosthiqa000" TargetMode="External"/><Relationship Id="rIdH6" Type="http://schemas.openxmlformats.org/officeDocument/2006/relationships/hyperlink" Target="https://drive.google.com/drive/folders/1EVI0009ejemploevidenciasthq0" TargetMode="External"/><Relationship Id="rIdH7" Type="http://schemas.openxmlformats.org/officeDocument/2006/relationships/hyperlink" Target="https://drive.google.com/drive/folders/1MAT0010ejemplotapeosthiqa000" TargetMode="External"/><Relationship Id="rIdH8" Type="http://schemas.openxmlformats.org/officeDocument/2006/relationships/hyperlink" Target="https://drive.google.com/drive/folders/1EVI0010ejemploevidenciasthq0" TargetMode="External"/><Relationship Id="rIdH9" Type="http://schemas.openxmlformats.org/officeDocument/2006/relationships/hyperlink" Target="https://drive.google.com/drive/folders/1MAT0012ejemplotapeosthiqa000" TargetMode="External"/><Relationship Id="rIdH10" Type="http://schemas.openxmlformats.org/officeDocument/2006/relationships/hyperlink" Target="https://drive.google.com/drive/folders/1EVI0012ejemploevidenciasthq0" TargetMode="External"/><Relationship Id="rIdH11" Type="http://schemas.openxmlformats.org/officeDocument/2006/relationships/hyperlink" Target="https://drive.google.com/drive/folders/1EVI0014ejemploevidenciasthq0" TargetMode="External"/><Relationship Id="rIdH12" Type="http://schemas.openxmlformats.org/officeDocument/2006/relationships/hyperlink" Target="https://drive.google.com/drive/folders/1MAT0015ejemplotapeosthiqa000" TargetMode="External"/><Relationship Id="rIdH13" Type="http://schemas.openxmlformats.org/officeDocument/2006/relationships/hyperlink" Target="https://drive.google.com/drive/folders/1MAT0016ejemplotapeosthiqa000" TargetMode="External"/><Relationship Id="rIdH14" Type="http://schemas.openxmlformats.org/officeDocument/2006/relationships/hyperlink" Target="https://drive.google.com/drive/folders/1EVI0016ejemploevidenciasthq0" TargetMode="External"/><Relationship Id="rIdH15" Type="http://schemas.openxmlformats.org/officeDocument/2006/relationships/hyperlink" Target="https://drive.google.com/drive/folders/1EVI0017ejemploevidenciasthq0" TargetMode="External"/><Relationship Id="rIdH16" Type="http://schemas.openxmlformats.org/officeDocument/2006/relationships/hyperlink" Target="https://drive.google.com/drive/folders/1MAT0019ejemplotapeosthiqa000" TargetMode="External"/><Relationship Id="rIdH17" Type="http://schemas.openxmlformats.org/officeDocument/2006/relationships/hyperlink" Target="https://drive.google.com/drive/folders/1EVI0020ejemploevidenciasthq0" TargetMode="External"/><Relationship Id="rIdH18" Type="http://schemas.openxmlformats.org/officeDocument/2006/relationships/hyperlink" Target="https://drive.google.com/drive/folders/1MAT0022ejemplotapeosthiqa000" TargetMode="External"/><Relationship Id="rIdH19" Type="http://schemas.openxmlformats.org/officeDocument/2006/relationships/hyperlink" Target="https://drive.google.com/drive/folders/1EVI0022ejemploevidenciasthq0" TargetMode="External"/><Relationship Id="rIdH20" Type="http://schemas.openxmlformats.org/officeDocument/2006/relationships/hyperlink" Target="https://drive.google.com/drive/folders/1MAT0024ejemplotapeosthiqa000" TargetMode="External"/><Relationship Id="rIdH21" Type="http://schemas.openxmlformats.org/officeDocument/2006/relationships/hyperlink" Target="https://drive.google.com/drive/folders/1EVI0024ejemploevidenciasthq0" TargetMode="External"/><Relationship Id="rIdH22" Type="http://schemas.openxmlformats.org/officeDocument/2006/relationships/hyperlink" Target="https://drive.google.com/drive/folders/1EVI0026ejemploevidenciasthq0" TargetMode="External"/><Relationship Id="rIdH23" Type="http://schemas.openxmlformats.org/officeDocument/2006/relationships/hyperlink" Target="https://drive.google.com/drive/folders/1MAT0028ejemplotapeosthiqa000" TargetMode="External"/><Relationship Id="rIdH24" Type="http://schemas.openxmlformats.org/officeDocument/2006/relationships/hyperlink" Target="https://drive.google.com/drive/folders/1EVI0028ejemploevidenciasthq0" TargetMode="External"/><Relationship Id="rIdH25" Type="http://schemas.openxmlformats.org/officeDocument/2006/relationships/hyperlink" Target="https://drive.google.com/drive/folders/1MAT0030ejemplotapeosthiqa000" TargetMode="External"/><Relationship Id="rIdH26" Type="http://schemas.openxmlformats.org/officeDocument/2006/relationships/hyperlink" Target="https://drive.google.com/drive/folders/1EVI0030ejemploevidenciasthq0" TargetMode="External"/><Relationship Id="rIdH27" Type="http://schemas.openxmlformats.org/officeDocument/2006/relationships/hyperlink" Target="https://drive.google.com/drive/folders/1MAT0031ejemplotapeosthiqa000" TargetMode="External"/><Relationship Id="rIdH28" Type="http://schemas.openxmlformats.org/officeDocument/2006/relationships/hyperlink" Target="https://drive.google.com/drive/folders/1MAT0034ejemplotapeosthiqa000" TargetMode="External"/><Relationship Id="rIdH29" Type="http://schemas.openxmlformats.org/officeDocument/2006/relationships/hyperlink" Target="https://drive.google.com/drive/folders/1EVI0034ejemploevidenciasthq0" TargetMode="External"/><Relationship Id="rIdH30" Type="http://schemas.openxmlformats.org/officeDocument/2006/relationships/hyperlink" Target="https://drive.google.com/drive/folders/1MAT0036ejemplotapeosthiqa000" TargetMode="External"/><Relationship Id="rIdH31" Type="http://schemas.openxmlformats.org/officeDocument/2006/relationships/hyperlink" Target="https://drive.google.com/drive/folders/1EVI0036ejemploevidenciasthq0" TargetMode="External"/><Relationship Id="rIdH32" Type="http://schemas.openxmlformats.org/officeDocument/2006/relationships/hyperlink" Target="https://drive.google.com/drive/folders/1MAT0037ejemplotapeosthiqa000" TargetMode="External"/><Relationship Id="rIdH33" Type="http://schemas.openxmlformats.org/officeDocument/2006/relationships/hyperlink" Target="https://drive.google.com/drive/folders/1EVI0037ejemploevidenciasthq0" TargetMode="External"/><Relationship Id="rIdH34" Type="http://schemas.openxmlformats.org/officeDocument/2006/relationships/hyperlink" Target="https://drive.google.com/drive/folders/1EVI0038ejemploevidenciasthq0" TargetMode="External"/><Relationship Id="rIdH35" Type="http://schemas.openxmlformats.org/officeDocument/2006/relationships/hyperlink" Target="https://drive.google.com/drive/folders/1MAT0039ejemplotapeosthiqa000" TargetMode="External"/><Relationship Id="rIdH36" Type="http://schemas.openxmlformats.org/officeDocument/2006/relationships/hyperlink" Target="https://drive.google.com/drive/folders/1MAT0040ejemplotapeosthiqa000" TargetMode="External"/><Relationship Id="rIdH37" Type="http://schemas.openxmlformats.org/officeDocument/2006/relationships/hyperlink" Target="https://drive.google.com/drive/folders/1EVI0040ejemploevidenciasthq0" TargetMode="External"/><Relationship Id="rIdH38" Type="http://schemas.openxmlformats.org/officeDocument/2006/relationships/hyperlink" Target="https://drive.google.com/drive/folders/1EVI0041ejemploevidenciasthq0" TargetMode="External"/><Relationship Id="rIdH39" Type="http://schemas.openxmlformats.org/officeDocument/2006/relationships/hyperlink" Target="https://drive.google.com/drive/folders/1MAT0045ejemplotapeosthiqa000" TargetMode="External"/><Relationship Id="rIdH40" Type="http://schemas.openxmlformats.org/officeDocument/2006/relationships/hyperlink" Target="https://drive.google.com/drive/folders/1EVI0045ejemploevidenciasthq0" TargetMode="External"/><Relationship Id="rIdH41" Type="http://schemas.openxmlformats.org/officeDocument/2006/relationships/hyperlink" Target="https://drive.google.com/drive/folders/1MAT0046ejemplotapeosthiqa000" TargetMode="External"/><Relationship Id="rIdH42" Type="http://schemas.openxmlformats.org/officeDocument/2006/relationships/hyperlink" Target="https://drive.google.com/drive/folders/1EVI0046ejemploevidenciasthq0" TargetMode="External"/><Relationship Id="rIdH43" Type="http://schemas.openxmlformats.org/officeDocument/2006/relationships/hyperlink" Target="https://drive.google.com/drive/folders/1EVI0053ejemploevidenciasthq0" TargetMode="External"/><Relationship Id="rIdH44" Type="http://schemas.openxmlformats.org/officeDocument/2006/relationships/hyperlink" Target="https://drive.google.com/drive/folders/1MAT0054ejemplotapeosthiqa000" TargetMode="External"/><Relationship Id="rIdH45" Type="http://schemas.openxmlformats.org/officeDocument/2006/relationships/hyperlink" Target="https://drive.google.com/drive/folders/1EVI0054ejemploevidenciasthq0" TargetMode="External"/><Relationship Id="rIdH46" Type="http://schemas.openxmlformats.org/officeDocument/2006/relationships/hyperlink" Target="https://drive.google.com/drive/folders/1MAT0055ejemplotapeosthiqa000" TargetMode="External"/><Relationship Id="rIdH47" Type="http://schemas.openxmlformats.org/officeDocument/2006/relationships/hyperlink" Target="https://drive.google.com/drive/folders/1EVI0056ejemploevidenciasthq0" TargetMode="External"/><Relationship Id="rIdH48" Type="http://schemas.openxmlformats.org/officeDocument/2006/relationships/hyperlink" Target="https://drive.google.com/drive/folders/1MAT0057ejemplotapeosthiqa000" TargetMode="External"/><Relationship Id="rIdH49" Type="http://schemas.openxmlformats.org/officeDocument/2006/relationships/hyperlink" Target="https://drive.google.com/drive/folders/1EVI0057ejemploevidenciasthq0" TargetMode="External"/><Relationship Id="rIdH50" Type="http://schemas.openxmlformats.org/officeDocument/2006/relationships/hyperlink" Target="https://drive.google.com/drive/folders/1MAT0058ejemplotapeosthiqa000" TargetMode="External"/><Relationship Id="rIdH51" Type="http://schemas.openxmlformats.org/officeDocument/2006/relationships/hyperlink" Target="https://drive.google.com/drive/folders/1EVI0058ejemploevidenciasthq0" TargetMode="External"/><Relationship Id="rIdH52" Type="http://schemas.openxmlformats.org/officeDocument/2006/relationships/hyperlink" Target="https://drive.google.com/drive/folders/1MAT0061ejemplotapeosthiqa000" TargetMode="External"/><Relationship Id="rIdH53" Type="http://schemas.openxmlformats.org/officeDocument/2006/relationships/hyperlink" Target="https://drive.google.com/drive/folders/1EVI0061ejemploevidenciasthq0" TargetMode="External"/><Relationship Id="rIdH54" Type="http://schemas.openxmlformats.org/officeDocument/2006/relationships/hyperlink" Target="https://drive.google.com/drive/folders/1EVI0062ejemploevidenciasthq0" TargetMode="External"/><Relationship Id="rIdH55" Type="http://schemas.openxmlformats.org/officeDocument/2006/relationships/hyperlink" Target="https://drive.google.com/drive/folders/1MAT0067ejemplotapeosthiqa000" TargetMode="External"/><Relationship Id="rIdH56" Type="http://schemas.openxmlformats.org/officeDocument/2006/relationships/hyperlink" Target="https://drive.google.com/drive/folders/1MAT0069ejemplotapeosthiqa000" TargetMode="External"/><Relationship Id="rIdH57" Type="http://schemas.openxmlformats.org/officeDocument/2006/relationships/hyperlink" Target="https://drive.google.com/drive/folders/1EVI0069ejemploevidenciasthq0" TargetMode="External"/><Relationship Id="rIdH58" Type="http://schemas.openxmlformats.org/officeDocument/2006/relationships/hyperlink" Target="https://drive.google.com/drive/folders/1MAT0072ejemplotapeosthiqa000" TargetMode="External"/><Relationship Id="rIdH59" Type="http://schemas.openxmlformats.org/officeDocument/2006/relationships/hyperlink" Target="https://drive.google.com/drive/folders/1EVI0072ejemploevidenciasthq0" TargetMode="External"/><Relationship Id="rIdH60" Type="http://schemas.openxmlformats.org/officeDocument/2006/relationships/hyperlink" Target="https://drive.google.com/drive/folders/1EVI0074ejemploevidenciasthq0" TargetMode="External"/><Relationship Id="rIdH61" Type="http://schemas.openxmlformats.org/officeDocument/2006/relationships/hyperlink" Target="https://drive.google.com/drive/folders/1MAT0075ejemplotapeosthiqa000" TargetMode="External"/><Relationship Id="rIdH62" Type="http://schemas.openxmlformats.org/officeDocument/2006/relationships/hyperlink" Target="https://drive.google.com/drive/folders/1MAT0076ejemplotapeosthiqa000" TargetMode="External"/><Relationship Id="rIdH63" Type="http://schemas.openxmlformats.org/officeDocument/2006/relationships/hyperlink" Target="https://drive.google.com/drive/folders/1EVI0076ejemploevidenciasthq0" TargetMode="External"/><Relationship Id="rIdH64" Type="http://schemas.openxmlformats.org/officeDocument/2006/relationships/hyperlink" Target="https://drive.google.com/drive/folders/1EVI0077ejemploevidenciasthq0" TargetMode="External"/><Relationship Id="rIdH65" Type="http://schemas.openxmlformats.org/officeDocument/2006/relationships/hyperlink" Target="https://drive.google.com/drive/folders/1MAT0079ejemplotapeosthiqa000" TargetMode="External"/><Relationship Id="rIdH66" Type="http://schemas.openxmlformats.org/officeDocument/2006/relationships/hyperlink" Target="https://drive.google.com/drive/folders/1MAT0082ejemplotapeosthiqa000" TargetMode="External"/><Relationship Id="rIdH67" Type="http://schemas.openxmlformats.org/officeDocument/2006/relationships/hyperlink" Target="https://drive.google.com/drive/folders/1EVI0082ejemploevidenciasthq0" TargetMode="External"/><Relationship Id="rIdH68" Type="http://schemas.openxmlformats.org/officeDocument/2006/relationships/hyperlink" Target="https://drive.google.com/drive/folders/1MAT0084ejemplotapeosthiqa000" TargetMode="External"/><Relationship Id="rIdH69" Type="http://schemas.openxmlformats.org/officeDocument/2006/relationships/hyperlink" Target="https://drive.google.com/drive/folders/1EVI0084ejemploevidenciasthq0" TargetMode="External"/><Relationship Id="rIdH70" Type="http://schemas.openxmlformats.org/officeDocument/2006/relationships/hyperlink" Target="https://drive.google.com/drive/folders/1EVI0086ejemploevidenciasthq0" TargetMode="External"/><Relationship Id="rIdH71" Type="http://schemas.openxmlformats.org/officeDocument/2006/relationships/hyperlink" Target="https://drive.google.com/drive/folders/1MAT0087ejemplotapeosthiqa000" TargetMode="External"/><Relationship Id="rIdH72" Type="http://schemas.openxmlformats.org/officeDocument/2006/relationships/hyperlink" Target="https://drive.google.com/drive/folders/1MAT0088ejemplotapeosthiqa000" TargetMode="External"/><Relationship Id="rIdH73" Type="http://schemas.openxmlformats.org/officeDocument/2006/relationships/hyperlink" Target="https://drive.google.com/drive/folders/1EVI0088ejemploevidenciasthq0" TargetMode="External"/><Relationship Id="rIdH74" Type="http://schemas.openxmlformats.org/officeDocument/2006/relationships/hyperlink" Target="https://drive.google.com/drive/folders/1MAT0090ejemplotapeosthiqa000" TargetMode="External"/><Relationship Id="rIdH75" Type="http://schemas.openxmlformats.org/officeDocument/2006/relationships/hyperlink" Target="https://drive.google.com/drive/folders/1EVI0090ejemploevidenciasthq0" TargetMode="External"/><Relationship Id="rIdH76" Type="http://schemas.openxmlformats.org/officeDocument/2006/relationships/hyperlink" Target="https://drive.google.com/drive/folders/1MAT0093ejemplotapeosthiqa000" TargetMode="External"/><Relationship Id="rIdH77" Type="http://schemas.openxmlformats.org/officeDocument/2006/relationships/hyperlink" Target="https://drive.google.com/drive/folders/1EVI0093ejemploevidenciasthq0" TargetMode="External"/><Relationship Id="rIdH78" Type="http://schemas.openxmlformats.org/officeDocument/2006/relationships/hyperlink" Target="https://drive.google.com/drive/folders/1MAT0096ejemplotapeosthiqa000" TargetMode="External"/><Relationship Id="rIdH79" Type="http://schemas.openxmlformats.org/officeDocument/2006/relationships/hyperlink" Target="https://drive.google.com/drive/folders/1EVI0096ejemploevidenciasthq0" TargetMode="External"/><Relationship Id="rIdH80" Type="http://schemas.openxmlformats.org/officeDocument/2006/relationships/hyperlink" Target="https://drive.google.com/drive/folders/1MAT0097ejemplotapeosthiqa000" TargetMode="External"/><Relationship Id="rIdH81" Type="http://schemas.openxmlformats.org/officeDocument/2006/relationships/hyperlink" Target="https://drive.google.com/drive/folders/1EVI0097ejemploevidenciasthq0" TargetMode="External"/><Relationship Id="rIdH82" Type="http://schemas.openxmlformats.org/officeDocument/2006/relationships/hyperlink" Target="https://drive.google.com/drive/folders/1MAT0100ejemplotapeosthiqa000" TargetMode="External"/><Relationship Id="rIdH83" Type="http://schemas.openxmlformats.org/officeDocument/2006/relationships/hyperlink" Target="https://drive.google.com/drive/folders/1EVI0100ejemploevidenciasthq0" TargetMode="External"/><Relationship Id="rIdH84" Type="http://schemas.openxmlformats.org/officeDocument/2006/relationships/hyperlink" Target="https://drive.google.com/drive/folders/1MAT0103ejemplotapeosthiqa000" TargetMode="External"/><Relationship Id="rIdH85" Type="http://schemas.openxmlformats.org/officeDocument/2006/relationships/hyperlink" Target="https://drive.google.com/drive/folders/1EVI0104ejemploevidenciasthq0" TargetMode="External"/><Relationship Id="rIdH86" Type="http://schemas.openxmlformats.org/officeDocument/2006/relationships/hyperlink" Target="https://drive.google.com/drive/folders/1MAT0108ejemplotapeosthiqa000" TargetMode="External"/><Relationship Id="rIdH87" Type="http://schemas.openxmlformats.org/officeDocument/2006/relationships/hyperlink" Target="https://drive.google.com/drive/folders/1EVI0108ejemploevidenciasthq0" TargetMode="External"/><Relationship Id="rIdH88" Type="http://schemas.openxmlformats.org/officeDocument/2006/relationships/hyperlink" Target="https://drive.google.com/drive/folders/1MAT0111ejemplotapeosthiqa000" TargetMode="External"/><Relationship Id="rIdH89" Type="http://schemas.openxmlformats.org/officeDocument/2006/relationships/hyperlink" Target="https://drive.google.com/drive/folders/1MAT0112ejemplotapeosthiqa000" TargetMode="External"/><Relationship Id="rIdH90" Type="http://schemas.openxmlformats.org/officeDocument/2006/relationships/hyperlink" Target="https://drive.google.com/drive/folders/1EVI0112ejemploevidenciasthq0" TargetMode="External"/><Relationship Id="rIdH91" Type="http://schemas.openxmlformats.org/officeDocument/2006/relationships/hyperlink" Target="https://drive.google.com/drive/folders/1EVI0113ejemploevidenciasthq0" TargetMode="External"/><Relationship Id="rIdH92" Type="http://schemas.openxmlformats.org/officeDocument/2006/relationships/hyperlink" Target="https://drive.google.com/drive/folders/1EVI0116ejemploevidenciasthq0" TargetMode="External"/><Relationship Id="rIdH93" Type="http://schemas.openxmlformats.org/officeDocument/2006/relationships/hyperlink" Target="https://drive.google.com/drive/folders/1MAT0117ejemplotapeosthiqa000" TargetMode="External"/><Relationship Id="rIdH94" Type="http://schemas.openxmlformats.org/officeDocument/2006/relationships/hyperlink" Target="https://drive.google.com/drive/folders/1EVI0117ejemploevidenciasthq0" TargetMode="External"/><Relationship Id="rIdH95" Type="http://schemas.openxmlformats.org/officeDocument/2006/relationships/hyperlink" Target="https://drive.google.com/drive/folders/1MAT0118ejemplotapeosthiqa000" TargetMode="External"/><Relationship Id="rIdH96" Type="http://schemas.openxmlformats.org/officeDocument/2006/relationships/hyperlink" Target="https://drive.google.com/drive/folders/1EVI0118ejemploevidenciasthq0" TargetMode="External"/><Relationship Id="rIdH97" Type="http://schemas.openxmlformats.org/officeDocument/2006/relationships/hyperlink" Target="https://drive.google.com/drive/folders/1MAT0120ejemplotapeosthiqa000" TargetMode="External"/><Relationship Id="rIdH98" Type="http://schemas.openxmlformats.org/officeDocument/2006/relationships/hyperlink" Target="https://drive.google.com/drive/folders/1EVI0120ejemploevidenciasthq0" TargetMode="External"/><Relationship Id="rIdH99" Type="http://schemas.openxmlformats.org/officeDocument/2006/relationships/hyperlink" Target="https://drive.google.com/drive/folders/1MAT0121ejemplotapeosthiqa000" TargetMode="External"/><Relationship Id="rIdH100" Type="http://schemas.openxmlformats.org/officeDocument/2006/relationships/hyperlink" Target="https://drive.google.com/drive/folders/1EVI0121ejemploevidenciasthq0" TargetMode="External"/><Relationship Id="rIdH101" Type="http://schemas.openxmlformats.org/officeDocument/2006/relationships/hyperlink" Target="https://drive.google.com/drive/folders/1MAT0123ejemplotapeosthiqa000" TargetMode="External"/><Relationship Id="rIdH102" Type="http://schemas.openxmlformats.org/officeDocument/2006/relationships/hyperlink" Target="https://drive.google.com/drive/folders/1MAT0124ejemplotapeosthiqa000" TargetMode="External"/><Relationship Id="rIdH103" Type="http://schemas.openxmlformats.org/officeDocument/2006/relationships/hyperlink" Target="https://drive.google.com/drive/folders/1EVI0124ejemploevidenciasthq0" TargetMode="External"/><Relationship Id="rIdH104" Type="http://schemas.openxmlformats.org/officeDocument/2006/relationships/hyperlink" Target="https://drive.google.com/drive/folders/1MAT0129ejemplotapeosthiqa000" TargetMode="External"/><Relationship Id="rIdH105" Type="http://schemas.openxmlformats.org/officeDocument/2006/relationships/hyperlink" Target="https://drive.google.com/drive/folders/1EVI0129ejemploevidenciasthq0" TargetMode="External"/><Relationship Id="rIdH106" Type="http://schemas.openxmlformats.org/officeDocument/2006/relationships/hyperlink" Target="https://drive.google.com/drive/folders/1MAT0132ejemplotapeosthiqa000" TargetMode="External"/><Relationship Id="rIdH107" Type="http://schemas.openxmlformats.org/officeDocument/2006/relationships/hyperlink" Target="https://drive.google.com/drive/folders/1EVI0132ejemploevidenciasthq0" TargetMode="External"/><Relationship Id="rIdH108" Type="http://schemas.openxmlformats.org/officeDocument/2006/relationships/hyperlink" Target="https://drive.google.com/drive/folders/1MAT0133ejemplotapeosthiqa000" TargetMode="External"/><Relationship Id="rIdH109" Type="http://schemas.openxmlformats.org/officeDocument/2006/relationships/hyperlink" Target="https://drive.google.com/drive/folders/1EVI0133ejemploevidenciasthq0" TargetMode="External"/><Relationship Id="rIdH110" Type="http://schemas.openxmlformats.org/officeDocument/2006/relationships/hyperlink" Target="https://drive.google.com/drive/folders/1EVI0134ejemploevidenciasthq0" TargetMode="External"/><Relationship Id="rIdH111" Type="http://schemas.openxmlformats.org/officeDocument/2006/relationships/hyperlink" Target="https://drive.google.com/drive/folders/1MAT0135ejemplotapeosthiqa000" TargetMode="External"/><Relationship Id="rIdH112" Type="http://schemas.openxmlformats.org/officeDocument/2006/relationships/hyperlink" Target="https://drive.google.com/drive/folders/1MAT0136ejemplotapeosthiqa000" TargetMode="External"/><Relationship Id="rIdH113" Type="http://schemas.openxmlformats.org/officeDocument/2006/relationships/hyperlink" Target="https://drive.google.com/drive/folders/1EVI0136ejemploevidenciasthq0" TargetMode="External"/><Relationship Id="rIdH114" Type="http://schemas.openxmlformats.org/officeDocument/2006/relationships/hyperlink" Target="https://drive.google.com/drive/folders/1EVI0137ejemploevidenciasthq0" TargetMode="External"/><Relationship Id="rIdH115" Type="http://schemas.openxmlformats.org/officeDocument/2006/relationships/hyperlink" Target="https://drive.google.com/drive/folders/1MAT0139ejemplotapeosthiqa000" TargetMode="External"/><Relationship Id="rIdH116" Type="http://schemas.openxmlformats.org/officeDocument/2006/relationships/hyperlink" Target="https://drive.google.com/drive/folders/1MAT0142ejemplotapeosthiqa000" TargetMode="External"/><Relationship Id="rIdH117" Type="http://schemas.openxmlformats.org/officeDocument/2006/relationships/hyperlink" Target="https://drive.google.com/drive/folders/1EVI0142ejemploevidenciasthq0" TargetMode="External"/><Relationship Id="rIdH118" Type="http://schemas.openxmlformats.org/officeDocument/2006/relationships/hyperlink" Target="https://drive.google.com/drive/folders/1MAT0144ejemplotapeosthiqa000" TargetMode="External"/><Relationship Id="rIdH119" Type="http://schemas.openxmlformats.org/officeDocument/2006/relationships/hyperlink" Target="https://drive.google.com/drive/folders/1EVI0144ejemploevidenciasthq0" TargetMode="External"/><Relationship Id="rIdH120" Type="http://schemas.openxmlformats.org/officeDocument/2006/relationships/hyperlink" Target="https://drive.google.com/drive/folders/1EVI0146ejemploevidenciasthq0" TargetMode="External"/><Relationship Id="rIdH121" Type="http://schemas.openxmlformats.org/officeDocument/2006/relationships/hyperlink" Target="https://drive.google.com/drive/folders/1EVI0149ejemploevidenciasthq0" TargetMode="External"/><Relationship Id="rIdH122" Type="http://schemas.openxmlformats.org/officeDocument/2006/relationships/hyperlink" Target="https://drive.google.com/drive/folders/1MAT0151ejemplotapeosthiqa000" TargetMode="External"/><Relationship Id="rIdH123" Type="http://schemas.openxmlformats.org/officeDocument/2006/relationships/hyperlink" Target="https://drive.google.com/drive/folders/1MAT0153ejemplotapeosthiqa000" TargetMode="External"/><Relationship Id="rIdH124" Type="http://schemas.openxmlformats.org/officeDocument/2006/relationships/hyperlink" Target="https://drive.google.com/drive/folders/1EVI0153ejemploevidenciasthq0" TargetMode="External"/><Relationship Id="rIdH125" Type="http://schemas.openxmlformats.org/officeDocument/2006/relationships/hyperlink" Target="https://drive.google.com/drive/folders/1MAT0156ejemplotapeosthiqa000" TargetMode="External"/><Relationship Id="rIdH126" Type="http://schemas.openxmlformats.org/officeDocument/2006/relationships/hyperlink" Target="https://drive.google.com/drive/folders/1EVI0156ejemploevidenciasthq0" TargetMode="External"/><Relationship Id="rIdH127" Type="http://schemas.openxmlformats.org/officeDocument/2006/relationships/hyperlink" Target="https://drive.google.com/drive/folders/1MAT0157ejemplotapeosthiqa000" TargetMode="External"/><Relationship Id="rIdH128" Type="http://schemas.openxmlformats.org/officeDocument/2006/relationships/hyperlink" Target="https://drive.google.com/drive/folders/1EVI0157ejemploevidenciasthq0" TargetMode="External"/><Relationship Id="rIdH129" Type="http://schemas.openxmlformats.org/officeDocument/2006/relationships/hyperlink" Target="https://drive.google.com/drive/folders/1MAT0159ejemplotapeosthiqa000" TargetMode="External"/><Relationship Id="rIdH130" Type="http://schemas.openxmlformats.org/officeDocument/2006/relationships/hyperlink" Target="https://drive.google.com/drive/folders/1EVI0161ejemploevidenciasthq0" TargetMode="External"/><Relationship Id="rIdH131" Type="http://schemas.openxmlformats.org/officeDocument/2006/relationships/hyperlink" Target="https://drive.google.com/drive/folders/1MAT0162ejemplotapeosthiqa000" TargetMode="External"/><Relationship Id="rIdH132" Type="http://schemas.openxmlformats.org/officeDocument/2006/relationships/hyperlink" Target="https://drive.google.com/drive/folders/1EVI0162ejemploevidenciasthq0" TargetMode="External"/><Relationship Id="rIdH133" Type="http://schemas.openxmlformats.org/officeDocument/2006/relationships/hyperlink" Target="https://drive.google.com/drive/folders/1MAT0169ejemplotapeosthiqa000" TargetMode="External"/><Relationship Id="rIdH134" Type="http://schemas.openxmlformats.org/officeDocument/2006/relationships/hyperlink" Target="https://drive.google.com/drive/folders/1EVI0169ejemploevidenciasthq0" TargetMode="External"/><Relationship Id="rIdH135" Type="http://schemas.openxmlformats.org/officeDocument/2006/relationships/hyperlink" Target="https://drive.google.com/drive/folders/1EVI0170ejemploevidenciasthq0" TargetMode="External"/><Relationship Id="rIdH136" Type="http://schemas.openxmlformats.org/officeDocument/2006/relationships/hyperlink" Target="https://drive.google.com/drive/folders/1MAT0172ejemplotapeosthiqa000" TargetMode="External"/><Relationship Id="rIdH137" Type="http://schemas.openxmlformats.org/officeDocument/2006/relationships/hyperlink" Target="https://drive.google.com/drive/folders/1EVI0172ejemploevidenciasthq0" TargetMode="External"/><Relationship Id="rIdH138" Type="http://schemas.openxmlformats.org/officeDocument/2006/relationships/hyperlink" Target="https://drive.google.com/drive/folders/1EVI0182ejemploevidenciasthq0" TargetMode="External"/><Relationship Id="rIdH139" Type="http://schemas.openxmlformats.org/officeDocument/2006/relationships/hyperlink" Target="https://drive.google.com/drive/folders/1MAT0183ejemplotapeosthiqa000" TargetMode="External"/><Relationship Id="rIdH140" Type="http://schemas.openxmlformats.org/officeDocument/2006/relationships/hyperlink" Target="https://drive.google.com/drive/folders/1MAT0184ejemplotapeosthiqa000" TargetMode="External"/><Relationship Id="rIdH141" Type="http://schemas.openxmlformats.org/officeDocument/2006/relationships/hyperlink" Target="https://drive.google.com/drive/folders/1EVI0184ejemploevidenciasthq0" TargetMode="External"/><Relationship Id="rIdH142" Type="http://schemas.openxmlformats.org/officeDocument/2006/relationships/hyperlink" Target="https://drive.google.com/drive/folders/1EVI0185ejemploevidenciasthq0" TargetMode="External"/><Relationship Id="rIdH143" Type="http://schemas.openxmlformats.org/officeDocument/2006/relationships/hyperlink" Target="https://drive.google.com/drive/folders/1MAT0187ejemplotapeosthiqa000" TargetMode="External"/><Relationship Id="rIdH144" Type="http://schemas.openxmlformats.org/officeDocument/2006/relationships/hyperlink" Target="https://drive.google.com/drive/folders/1EVI0188ejemploevidenciasthq0" TargetMode="External"/><Relationship Id="rIdH145" Type="http://schemas.openxmlformats.org/officeDocument/2006/relationships/hyperlink" Target="https://drive.google.com/drive/folders/1MAT0189ejemplotapeosthiqa000" TargetMode="External"/><Relationship Id="rIdH146" Type="http://schemas.openxmlformats.org/officeDocument/2006/relationships/hyperlink" Target="https://drive.google.com/drive/folders/1EVI0189ejemploevidenciasthq0" TargetMode="External"/><Relationship Id="rIdH147" Type="http://schemas.openxmlformats.org/officeDocument/2006/relationships/hyperlink" Target="https://drive.google.com/drive/folders/1MAT0192ejemplotapeosthiqa000" TargetMode="External"/><Relationship Id="rIdH148" Type="http://schemas.openxmlformats.org/officeDocument/2006/relationships/hyperlink" Target="https://drive.google.com/drive/folders/1EVI0192ejemploevidenciasthq0" TargetMode="External"/><Relationship Id="rIdH149" Type="http://schemas.openxmlformats.org/officeDocument/2006/relationships/hyperlink" Target="https://drive.google.com/drive/folders/1EVI0194ejemploevidenciasthq0" TargetMode="External"/><Relationship Id="rIdH150" Type="http://schemas.openxmlformats.org/officeDocument/2006/relationships/hyperlink" Target="https://drive.google.com/drive/folders/1MAT0196ejemplotapeosthiqa000" TargetMode="External"/><Relationship Id="rIdH151" Type="http://schemas.openxmlformats.org/officeDocument/2006/relationships/hyperlink" Target="https://drive.google.com/drive/folders/1EVI0196ejemploevidenciasthq0" TargetMode="External"/><Relationship Id="rIdH152" Type="http://schemas.openxmlformats.org/officeDocument/2006/relationships/hyperlink" Target="https://drive.google.com/drive/folders/1MAT0199ejemplotapeosthiqa000" TargetMode="External"/><Relationship Id="rIdH153" Type="http://schemas.openxmlformats.org/officeDocument/2006/relationships/hyperlink" Target="https://drive.google.com/drive/folders/1MAT0201ejemplotapeosthiqa000" TargetMode="External"/><Relationship Id="rIdH154" Type="http://schemas.openxmlformats.org/officeDocument/2006/relationships/hyperlink" Target="https://drive.google.com/drive/folders/1EVI0201ejemploevidenciasthq0" TargetMode="External"/><Relationship Id="rIdH155" Type="http://schemas.openxmlformats.org/officeDocument/2006/relationships/hyperlink" Target="https://drive.google.com/drive/folders/1MAT0204ejemplotapeosthiqa000" TargetMode="External"/><Relationship Id="rIdH156" Type="http://schemas.openxmlformats.org/officeDocument/2006/relationships/hyperlink" Target="https://drive.google.com/drive/folders/1EVI0204ejemploevidenciasthq0" TargetMode="External"/><Relationship Id="rIdH157" Type="http://schemas.openxmlformats.org/officeDocument/2006/relationships/hyperlink" Target="https://drive.google.com/drive/folders/1MAT0205ejemplotapeosthiqa000" TargetMode="External"/><Relationship Id="rIdH158" Type="http://schemas.openxmlformats.org/officeDocument/2006/relationships/hyperlink" Target="https://drive.google.com/drive/folders/1EVI0205ejemploevidenciasthq0" TargetMode="External"/><Relationship Id="rIdH159" Type="http://schemas.openxmlformats.org/officeDocument/2006/relationships/hyperlink" Target="https://drive.google.com/drive/folders/1MAT0210ejemplotapeosthiqa000" TargetMode="External"/><Relationship Id="rIdH160" Type="http://schemas.openxmlformats.org/officeDocument/2006/relationships/hyperlink" Target="https://drive.google.com/drive/folders/1EVI0210ejemploevidenciasthq0" TargetMode="External"/><Relationship Id="rIdH161" Type="http://schemas.openxmlformats.org/officeDocument/2006/relationships/hyperlink" Target="https://drive.google.com/drive/folders/1MAT0213ejemplotapeosthiqa000" TargetMode="External"/><Relationship Id="rIdH162" Type="http://schemas.openxmlformats.org/officeDocument/2006/relationships/hyperlink" Target="https://drive.google.com/drive/folders/1EVI0213ejemploevidenciasthq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664</v>
      </c>
      <c r="B1" t="s">
        <v>665</v>
      </c>
      <c r="C1" t="s">
        <v>666</v>
      </c>
    </row>
    <row r="2">
      <c r="A2" t="s">
        <v>667</v>
      </c>
      <c r="B2" t="s">
        <v>24</v>
      </c>
      <c r="C2" t="s">
        <v>668</v>
      </c>
    </row>
    <row r="3">
      <c r="A3" t="s">
        <v>669</v>
      </c>
      <c r="B3" t="s">
        <v>83</v>
      </c>
      <c r="C3" t="s">
        <v>670</v>
      </c>
    </row>
    <row r="4">
      <c r="A4" t="s">
        <v>671</v>
      </c>
      <c r="B4" t="s">
        <v>38</v>
      </c>
      <c r="C4" t="s">
        <v>672</v>
      </c>
    </row>
    <row r="5">
      <c r="A5" t="s">
        <v>673</v>
      </c>
      <c r="B5" t="s">
        <v>294</v>
      </c>
      <c r="C5" t="s">
        <v>674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tr">
        <f>B2</f>
        <v>PIC_TLAJO_001</v>
      </c>
      <c r="B2" t="str">
        <f>HYPERLINK("https://drive.google.com/drive/folders/16Hq5q0Gia02sUyYFJspKs9dUifyuG6Ud?usp=drive_link";"PIC_TLAJO_001")</f>
        <v>PIC_TLAJO_001</v>
      </c>
      <c r="C2" t="s">
        <v>24</v>
      </c>
      <c r="D2" t="s">
        <v>25</v>
      </c>
      <c r="E2" t="s">
        <v>26</v>
      </c>
      <c r="F2" t="s">
        <v>27</v>
      </c>
      <c r="G2" t="str">
        <f>HYPERLINK("https://www.google.com/maps/search/?api=1&amp;query=Av.%20Temuco%20100%2C%20Santa%20Fe%2C%2045653%20Tlajomulco%20de%20Zuniga%2C%20Jal.";"Av. Temuco 100, Santa Fe, 45653 Tlajomulco de Zuniga, Jal.")</f>
        <v>Av. Temuco 100, Santa Fe, 45653 Tlajomulco de Zuniga, Jal.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s="1">
        <v>46023</v>
      </c>
      <c r="O2" s="1">
        <v>46048</v>
      </c>
      <c r="P2" s="1">
        <v>46035</v>
      </c>
      <c r="Q2" s="2">
        <v>24047.07</v>
      </c>
      <c r="R2" t="b">
        <v>1</v>
      </c>
      <c r="S2" s="2">
        <v>80000</v>
      </c>
      <c r="T2" t="s">
        <v>34</v>
      </c>
      <c r="U2" t="s">
        <v>35</v>
      </c>
      <c r="V2" t="s">
        <v>36</v>
      </c>
      <c r="W2" t="s">
        <v>37</v>
      </c>
      <c r="X2">
        <f>Q2*1.16</f>
      </c>
    </row>
    <row r="3">
      <c r="A3" t="str">
        <f>B3</f>
        <v>BNC_HSBC_002</v>
      </c>
      <c r="B3" t="str">
        <f>HYPERLINK("https://drive.google.com/drive/folders/1bmMS6rNFsfhZzL2DaR2ydC5K7HJm2R2i";"BNC_HSBC_002")</f>
        <v>BNC_HSBC_002</v>
      </c>
      <c r="C3" t="s">
        <v>38</v>
      </c>
      <c r="D3" t="s">
        <v>39</v>
      </c>
      <c r="E3" t="s">
        <v>40</v>
      </c>
      <c r="F3" t="s">
        <v>41</v>
      </c>
      <c r="G3" t="str">
        <f>HYPERLINK("https://www.google.com/maps/search/?api=1&amp;query=Cerro%20de%20la%20Cruz%20137%2C%20Hacienda%20Santa%20Fe%2C%2045654%20Tlajomulco%20de%20Zuniga%2C%20Jal.";"Cerro de la Cruz 137, Hacienda Santa Fe, 45654 Tlajomulco de Zuniga, Jal.")</f>
        <v>Cerro de la Cruz 137, Hacienda Santa Fe, 45654 Tlajomulco de Zuniga, Jal.</v>
      </c>
      <c r="H3" t="s">
        <v>42</v>
      </c>
      <c r="I3" t="s">
        <v>43</v>
      </c>
      <c r="J3" t="s">
        <v>44</v>
      </c>
      <c r="K3" t="s">
        <v>31</v>
      </c>
      <c r="L3" t="s">
        <v>32</v>
      </c>
      <c r="M3" t="s">
        <v>45</v>
      </c>
      <c r="N3" s="1">
        <v>46055</v>
      </c>
      <c r="R3" t="b">
        <v>0</v>
      </c>
      <c r="S3" s="2">
        <v>40000</v>
      </c>
      <c r="T3">
        <v>4370.6</v>
      </c>
      <c r="U3" t="s">
        <v>46</v>
      </c>
      <c r="X3">
        <f>Q3*1.16</f>
      </c>
    </row>
    <row r="4">
      <c r="A4" t="str">
        <f>B4</f>
        <v>PIC_TLAJO_003</v>
      </c>
      <c r="B4" t="str">
        <f>HYPERLINK("https://drive.google.com/drive/folders/1igEsKwvEKHdwmoCXVDxPntLYqAhNeit8";"PIC_TLAJO_003")</f>
        <v>PIC_TLAJO_003</v>
      </c>
      <c r="C4" t="s">
        <v>24</v>
      </c>
      <c r="D4" t="s">
        <v>25</v>
      </c>
      <c r="E4" t="s">
        <v>47</v>
      </c>
      <c r="F4" t="s">
        <v>48</v>
      </c>
      <c r="G4" t="str">
        <f>HYPERLINK("https://www.google.com/maps/search/?api=1&amp;query=Cerro%20la%20Atalaya%20174%2C%20Chulavista%2C%2045645%20Tlajomulco%20de%20Zuniga%2C%20Jal.";"Cerro la Atalaya 174, Chulavista, 45645 Tlajomulco de Zuniga, Jal.")</f>
        <v>Cerro la Atalaya 174, Chulavista, 45645 Tlajomulco de Zuniga, Jal.</v>
      </c>
      <c r="H4" t="s">
        <v>49</v>
      </c>
      <c r="I4" t="s">
        <v>50</v>
      </c>
      <c r="J4" t="s">
        <v>51</v>
      </c>
      <c r="K4" t="s">
        <v>31</v>
      </c>
      <c r="L4" t="s">
        <v>32</v>
      </c>
      <c r="M4" t="s">
        <v>52</v>
      </c>
      <c r="N4" s="1">
        <v>46084</v>
      </c>
      <c r="O4" s="1">
        <v>46111</v>
      </c>
      <c r="P4" s="1">
        <v>46098</v>
      </c>
      <c r="Q4" s="2">
        <v>21635.85</v>
      </c>
      <c r="R4" t="b">
        <v>0</v>
      </c>
      <c r="S4" s="2">
        <v>40000</v>
      </c>
      <c r="T4">
        <v>1034.31</v>
      </c>
      <c r="U4" t="s">
        <v>53</v>
      </c>
      <c r="W4" t="s">
        <v>54</v>
      </c>
      <c r="X4">
        <f>Q4*1.16</f>
      </c>
    </row>
    <row r="5">
      <c r="A5" t="str">
        <f>B5</f>
        <v>BNC_HSBC_004</v>
      </c>
      <c r="B5" t="str">
        <f>HYPERLINK("https://drive.google.com/drive/folders/177LPHQ0iZi5mi3FDTcUuGLx0Y54mvDfE";"BNC_HSBC_004")</f>
        <v>BNC_HSBC_004</v>
      </c>
      <c r="C5" t="s">
        <v>38</v>
      </c>
      <c r="D5" t="s">
        <v>55</v>
      </c>
      <c r="E5" t="s">
        <v>56</v>
      </c>
      <c r="F5" t="s">
        <v>57</v>
      </c>
      <c r="G5" t="str">
        <f>HYPERLINK("https://www.google.com/maps/search/?api=1&amp;query=Monte%20Cabra%20178%20D%2C%20LOMAS%2C%2045640%20Tlajomulco%20de%20Zuniga%2C%20Jal.";"Monte Cabra 178 D, LOMAS, 45640 Tlajomulco de Zuniga, Jal.")</f>
        <v>Monte Cabra 178 D, LOMAS, 45640 Tlajomulco de Zuniga, Jal.</v>
      </c>
      <c r="H5" t="s">
        <v>58</v>
      </c>
      <c r="I5" t="s">
        <v>59</v>
      </c>
      <c r="J5" t="s">
        <v>60</v>
      </c>
      <c r="K5" t="s">
        <v>31</v>
      </c>
      <c r="L5" t="s">
        <v>32</v>
      </c>
      <c r="M5" t="s">
        <v>61</v>
      </c>
      <c r="N5" s="1">
        <v>46116</v>
      </c>
      <c r="Q5" s="2">
        <v>37685.7</v>
      </c>
      <c r="R5" t="b">
        <v>0</v>
      </c>
      <c r="S5" s="2">
        <v>40000</v>
      </c>
      <c r="T5">
        <v>5800.65</v>
      </c>
      <c r="U5" t="s">
        <v>62</v>
      </c>
      <c r="X5">
        <f>Q5*1.16</f>
      </c>
    </row>
    <row r="6">
      <c r="A6" t="str">
        <f>B6</f>
        <v>PIC_TLAJO_005</v>
      </c>
      <c r="B6" t="str">
        <f>HYPERLINK("https://drive.google.com/drive/folders/1BmMbUp7qhL4HAy4aZYMitqj9ykhTRGat";"PIC_TLAJO_005")</f>
        <v>PIC_TLAJO_005</v>
      </c>
      <c r="C6" t="s">
        <v>24</v>
      </c>
      <c r="D6" t="s">
        <v>39</v>
      </c>
      <c r="E6" t="s">
        <v>63</v>
      </c>
      <c r="F6" t="s">
        <v>64</v>
      </c>
      <c r="G6" t="str">
        <f>HYPERLINK("https://www.google.com/maps/search/?api=1&amp;query=Cerro%20de%20las%207%20Gotas%20248%2C%20Lomas%20del%20Sur%2C%2045653%20Tlajomulco%20de%20Zuniga%2C%20Jal.";"Cerro de las 7 Gotas 248, Lomas del Sur, 45653 Tlajomulco de Zuniga, Jal.")</f>
        <v>Cerro de las 7 Gotas 248, Lomas del Sur, 45653 Tlajomulco de Zuniga, Jal.</v>
      </c>
      <c r="H6" t="s">
        <v>28</v>
      </c>
      <c r="I6" t="s">
        <v>65</v>
      </c>
      <c r="J6" t="s">
        <v>30</v>
      </c>
      <c r="K6" t="s">
        <v>31</v>
      </c>
      <c r="L6" t="s">
        <v>32</v>
      </c>
      <c r="M6" t="s">
        <v>66</v>
      </c>
      <c r="N6" s="1">
        <v>46147</v>
      </c>
      <c r="R6" t="b">
        <v>0</v>
      </c>
      <c r="S6" s="2">
        <v>40000</v>
      </c>
      <c r="T6" t="s">
        <v>34</v>
      </c>
      <c r="U6" t="s">
        <v>67</v>
      </c>
      <c r="X6">
        <f>Q6*1.16</f>
      </c>
    </row>
    <row r="7">
      <c r="A7" t="str">
        <f>B7</f>
        <v>PIC_TLAJO_006</v>
      </c>
      <c r="B7" t="str">
        <f>HYPERLINK("https://drive.google.com/drive/folders/18yx4Y4SQnU67vWQcUyHFamZY5xMATwBU?usp=drive_link";"PIC_TLAJO_006")</f>
        <v>PIC_TLAJO_006</v>
      </c>
      <c r="C7" t="s">
        <v>24</v>
      </c>
      <c r="D7" t="s">
        <v>25</v>
      </c>
      <c r="E7" t="s">
        <v>68</v>
      </c>
      <c r="F7" t="s">
        <v>69</v>
      </c>
      <c r="G7" t="str">
        <f>HYPERLINK("https://www.google.com/maps/search/?api=1&amp;query=Esteli%20285%2C%20Los%20Amiales%2C%2045654%20Tlajomulco%20de%20Zuniga%2C%20Jal.";"Esteli 285, Los Amiales, 45654 Tlajomulco de Zuniga, Jal.")</f>
        <v>Esteli 285, Los Amiales, 45654 Tlajomulco de Zuniga, Jal.</v>
      </c>
      <c r="H7" t="s">
        <v>42</v>
      </c>
      <c r="I7" t="s">
        <v>70</v>
      </c>
      <c r="J7" t="s">
        <v>44</v>
      </c>
      <c r="K7" t="s">
        <v>31</v>
      </c>
      <c r="L7" t="s">
        <v>32</v>
      </c>
      <c r="M7" t="s">
        <v>71</v>
      </c>
      <c r="N7" s="1">
        <v>46179</v>
      </c>
      <c r="P7" s="1">
        <v>46196</v>
      </c>
      <c r="Q7" s="2">
        <v>21446.64</v>
      </c>
      <c r="R7" t="b">
        <v>0</v>
      </c>
      <c r="S7" s="2">
        <v>40000</v>
      </c>
      <c r="T7">
        <v>1932.32</v>
      </c>
      <c r="U7" t="s">
        <v>72</v>
      </c>
      <c r="W7" t="s">
        <v>73</v>
      </c>
      <c r="X7">
        <f>Q7*1.16</f>
      </c>
    </row>
    <row r="8">
      <c r="A8" t="str">
        <f>B8</f>
        <v>PIC_TLAJO_007</v>
      </c>
      <c r="B8" t="str">
        <f>HYPERLINK("https://drive.google.com/drive/folders/1JR99h6rR0zcZC8b18hfxMiBVgCGXLkEF";"PIC_TLAJO_007")</f>
        <v>PIC_TLAJO_007</v>
      </c>
      <c r="C8" t="s">
        <v>24</v>
      </c>
      <c r="D8" t="s">
        <v>39</v>
      </c>
      <c r="E8" t="s">
        <v>74</v>
      </c>
      <c r="F8" t="s">
        <v>75</v>
      </c>
      <c r="G8" t="str">
        <f>HYPERLINK("https://www.google.com/maps/search/?api=1&amp;query=Montevideo%20322%2C%20Villas%20de%20la%20Hacienda%2C%2045645%20Tlajomulco%20de%20Zuniga%2C%20Jal.";"Montevideo 322, Villas de la Hacienda, 45645 Tlajomulco de Zuniga, Jal.")</f>
        <v>Montevideo 322, Villas de la Hacienda, 45645 Tlajomulco de Zuniga, Jal.</v>
      </c>
      <c r="H8" t="s">
        <v>49</v>
      </c>
      <c r="I8" t="s">
        <v>76</v>
      </c>
      <c r="J8" t="s">
        <v>51</v>
      </c>
      <c r="K8" t="s">
        <v>31</v>
      </c>
      <c r="L8" t="s">
        <v>32</v>
      </c>
      <c r="M8" t="s">
        <v>77</v>
      </c>
      <c r="N8" s="1">
        <v>46029</v>
      </c>
      <c r="Q8" s="2">
        <v>33095.63</v>
      </c>
      <c r="R8" t="b">
        <v>0</v>
      </c>
      <c r="S8" s="2">
        <v>40000</v>
      </c>
      <c r="T8">
        <v>4110.43</v>
      </c>
      <c r="U8" t="s">
        <v>78</v>
      </c>
      <c r="X8">
        <f>Q8*1.16</f>
      </c>
    </row>
    <row r="9">
      <c r="A9" t="str">
        <f>B9</f>
        <v>PIC_TLAJO_008</v>
      </c>
      <c r="B9" t="str">
        <f>HYPERLINK("https://drive.google.com/drive/folders/1PZ3zdBR6zj79tbjMfWBjEyHxfWZ1dZnC";"PIC_TLAJO_008")</f>
        <v>PIC_TLAJO_008</v>
      </c>
      <c r="C9" t="s">
        <v>24</v>
      </c>
      <c r="D9" t="s">
        <v>39</v>
      </c>
      <c r="E9" t="s">
        <v>79</v>
      </c>
      <c r="F9" t="s">
        <v>80</v>
      </c>
      <c r="G9" t="str">
        <f>HYPERLINK("https://www.google.com/maps/search/?api=1&amp;query=Av.%20Bogota%20359%2C%20El%20Palomar%2C%2045640%20Tlajomulco%20de%20Zuniga%2C%20Jal.";"Av. Bogota 359, El Palomar, 45640 Tlajomulco de Zuniga, Jal.")</f>
        <v>Av. Bogota 359, El Palomar, 45640 Tlajomulco de Zuniga, Jal.</v>
      </c>
      <c r="H9" t="s">
        <v>58</v>
      </c>
      <c r="I9" t="s">
        <v>81</v>
      </c>
      <c r="J9" t="s">
        <v>60</v>
      </c>
      <c r="K9" t="s">
        <v>31</v>
      </c>
      <c r="L9" t="s">
        <v>32</v>
      </c>
      <c r="M9" t="s">
        <v>82</v>
      </c>
      <c r="N9" s="1">
        <v>46061</v>
      </c>
      <c r="R9" t="b">
        <v>0</v>
      </c>
      <c r="S9" s="2">
        <v>40000</v>
      </c>
      <c r="T9">
        <v>6514.26</v>
      </c>
      <c r="U9" t="s">
        <v>35</v>
      </c>
      <c r="X9">
        <f>Q9*1.16</f>
      </c>
    </row>
    <row r="10">
      <c r="A10" t="str">
        <f>B10</f>
        <v>PRV_INFVT_009</v>
      </c>
      <c r="B10" t="str">
        <f>HYPERLINK("https://drive.google.com/drive/folders/1dQrkXZffzJbWea52WsvFBghuHoqrSvV0";"PRV_INFVT_009")</f>
        <v>PRV_INFVT_009</v>
      </c>
      <c r="C10" t="s">
        <v>83</v>
      </c>
      <c r="D10" t="s">
        <v>55</v>
      </c>
      <c r="E10" t="s">
        <v>84</v>
      </c>
      <c r="F10" t="s">
        <v>85</v>
      </c>
      <c r="G10" t="str">
        <f>HYPERLINK("https://www.google.com/maps/search/?api=1&amp;query=Blvd.%20Republica%20de%20Honduras%20396%2C%20Santa%20Fe%2C%2045653%20Tlajomulco%20de%20Zuniga%2C%20Jal.";"Blvd. Republica de Honduras 396, Santa Fe, 45653 Tlajomulco de Zuniga, Jal.")</f>
        <v>Blvd. Republica de Honduras 396, Santa Fe, 45653 Tlajomulco de Zuniga, Jal.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86</v>
      </c>
      <c r="N10" s="1">
        <v>46090</v>
      </c>
      <c r="R10" t="b">
        <v>0</v>
      </c>
      <c r="S10" s="2">
        <v>40000</v>
      </c>
      <c r="T10" t="s">
        <v>34</v>
      </c>
      <c r="U10" t="s">
        <v>46</v>
      </c>
      <c r="X10">
        <f>Q10*1.16</f>
      </c>
    </row>
    <row r="11">
      <c r="A11" t="str">
        <f>B11</f>
        <v>PRV_INFVT_010</v>
      </c>
      <c r="B11" t="str">
        <f>HYPERLINK("https://drive.google.com/drive/folders/1jEppXH1tVNyv41SzAoyucJhe3bMV4rJ8";"PRV_INFVT_010")</f>
        <v>PRV_INFVT_010</v>
      </c>
      <c r="C11" t="s">
        <v>83</v>
      </c>
      <c r="D11" t="s">
        <v>25</v>
      </c>
      <c r="E11" t="s">
        <v>87</v>
      </c>
      <c r="F11" t="s">
        <v>88</v>
      </c>
      <c r="G11" t="str">
        <f>HYPERLINK("https://www.google.com/maps/search/?api=1&amp;query=Paseo%20de%20los%20Agaves%20433%2C%20Hacienda%20Santa%20Fe%2C%2045654%20Tlajomulco%20de%20Zuniga%2C%20Jal.";"Paseo de los Agaves 433, Hacienda Santa Fe, 45654 Tlajomulco de Zuniga, Jal.")</f>
        <v>Paseo de los Agaves 433, Hacienda Santa Fe, 45654 Tlajomulco de Zuniga, Jal.</v>
      </c>
      <c r="H11" t="s">
        <v>42</v>
      </c>
      <c r="I11" t="s">
        <v>43</v>
      </c>
      <c r="J11" t="s">
        <v>44</v>
      </c>
      <c r="K11" t="s">
        <v>31</v>
      </c>
      <c r="L11" t="s">
        <v>32</v>
      </c>
      <c r="M11" t="s">
        <v>89</v>
      </c>
      <c r="N11" s="1">
        <v>46122</v>
      </c>
      <c r="O11" s="1">
        <v>46156</v>
      </c>
      <c r="P11" s="1">
        <v>46143</v>
      </c>
      <c r="Q11" s="2">
        <v>46224.01</v>
      </c>
      <c r="R11" t="b">
        <v>1</v>
      </c>
      <c r="S11" s="2">
        <v>80000</v>
      </c>
      <c r="T11">
        <v>4705.49</v>
      </c>
      <c r="U11" t="s">
        <v>53</v>
      </c>
      <c r="V11" t="s">
        <v>90</v>
      </c>
      <c r="W11" t="s">
        <v>91</v>
      </c>
      <c r="X11">
        <f>Q11*1.16</f>
      </c>
    </row>
    <row r="12">
      <c r="A12" t="str">
        <f>B12</f>
        <v>PIC_TLAJO_011</v>
      </c>
      <c r="B12" t="str">
        <f>HYPERLINK("https://drive.google.com/drive/folders/140morDC6H68QMBoLmAAkencPuAhuFAc6?usp=drive_link";"PIC_TLAJO_011")</f>
        <v>PIC_TLAJO_011</v>
      </c>
      <c r="C12" t="s">
        <v>24</v>
      </c>
      <c r="D12" t="s">
        <v>25</v>
      </c>
      <c r="E12" t="s">
        <v>92</v>
      </c>
      <c r="F12" t="s">
        <v>93</v>
      </c>
      <c r="G12" t="str">
        <f>HYPERLINK("https://www.google.com/maps/search/?api=1&amp;query=Volcan%20Paricutin%20470%2C%20Chulavista%2C%2045645%20Tlajomulco%20de%20Zuniga%2C%20Jal.";"Volcan Paricutin 470, Chulavista, 45645 Tlajomulco de Zuniga, Jal.")</f>
        <v>Volcan Paricutin 470, Chulavista, 45645 Tlajomulco de Zuniga, Jal.</v>
      </c>
      <c r="H12" t="s">
        <v>49</v>
      </c>
      <c r="I12" t="s">
        <v>50</v>
      </c>
      <c r="J12" t="s">
        <v>51</v>
      </c>
      <c r="K12" t="s">
        <v>31</v>
      </c>
      <c r="L12" t="s">
        <v>32</v>
      </c>
      <c r="M12" t="s">
        <v>94</v>
      </c>
      <c r="N12" s="1">
        <v>46153</v>
      </c>
      <c r="O12" s="1">
        <v>46188</v>
      </c>
      <c r="P12" s="1">
        <v>46175</v>
      </c>
      <c r="Q12" s="2">
        <v>18811.07</v>
      </c>
      <c r="R12" t="b">
        <v>0</v>
      </c>
      <c r="S12" s="2">
        <v>40000</v>
      </c>
      <c r="T12">
        <v>3936.5</v>
      </c>
      <c r="U12" t="s">
        <v>62</v>
      </c>
      <c r="V12" t="s">
        <v>95</v>
      </c>
      <c r="W12" t="s">
        <v>96</v>
      </c>
      <c r="X12">
        <f>Q12*1.16</f>
      </c>
    </row>
    <row r="13">
      <c r="A13" t="str">
        <f>B13</f>
        <v>PIC_TLAJO_012</v>
      </c>
      <c r="B13" t="str">
        <f>HYPERLINK("https://drive.google.com/drive/folders/1a5k1vBbMNjK5J1rfnd0w6SrSoULqpvDW";"PIC_TLAJO_012")</f>
        <v>PIC_TLAJO_012</v>
      </c>
      <c r="C13" t="s">
        <v>24</v>
      </c>
      <c r="D13" t="s">
        <v>25</v>
      </c>
      <c r="E13" t="s">
        <v>97</v>
      </c>
      <c r="F13" t="s">
        <v>98</v>
      </c>
      <c r="G13" t="str">
        <f>HYPERLINK("https://www.google.com/maps/search/?api=1&amp;query=Loma%20Dorada%20107%2C%20LOMAS%2C%2045640%20Tlajomulco%20de%20Zuniga%2C%20Jal.";"Loma Dorada 107, LOMAS, 45640 Tlajomulco de Zuniga, Jal.")</f>
        <v>Loma Dorada 107, LOMAS, 45640 Tlajomulco de Zuniga, Jal.</v>
      </c>
      <c r="H13" t="s">
        <v>58</v>
      </c>
      <c r="I13" t="s">
        <v>59</v>
      </c>
      <c r="J13" t="s">
        <v>60</v>
      </c>
      <c r="K13" t="s">
        <v>31</v>
      </c>
      <c r="L13" t="s">
        <v>32</v>
      </c>
      <c r="M13" t="s">
        <v>99</v>
      </c>
      <c r="N13" s="1">
        <v>46185</v>
      </c>
      <c r="O13" s="1">
        <v>46221</v>
      </c>
      <c r="P13" s="1">
        <v>46208</v>
      </c>
      <c r="Q13" s="2">
        <v>20383.55</v>
      </c>
      <c r="R13" t="b">
        <v>0</v>
      </c>
      <c r="S13" s="2">
        <v>40000</v>
      </c>
      <c r="T13">
        <v>7102.75</v>
      </c>
      <c r="U13" t="s">
        <v>67</v>
      </c>
      <c r="X13">
        <f>Q13*1.16</f>
      </c>
    </row>
    <row r="14">
      <c r="A14" t="str">
        <f>B14</f>
        <v>BNC_HSBC_013</v>
      </c>
      <c r="B14" t="str">
        <f>HYPERLINK("https://drive.google.com/drive/folders/1yMaciLgkVuxP9t0Ban7v0ZR5owVEXaFZ";"BNC_HSBC_013")</f>
        <v>BNC_HSBC_013</v>
      </c>
      <c r="C14" t="s">
        <v>38</v>
      </c>
      <c r="D14" t="s">
        <v>100</v>
      </c>
      <c r="E14" t="s">
        <v>101</v>
      </c>
      <c r="F14" t="s">
        <v>102</v>
      </c>
      <c r="G14" t="str">
        <f>HYPERLINK("https://www.google.com/maps/search/?api=1&amp;query=Real%20de%20Minas%20144%2C%20Lomas%20del%20Sur%2C%2045653%20Tlajomulco%20de%20Zuniga%2C%20Jal.";"Real de Minas 144, Lomas del Sur, 45653 Tlajomulco de Zuniga, Jal.")</f>
        <v>Real de Minas 144, Lomas del Sur, 45653 Tlajomulco de Zuniga, Jal.</v>
      </c>
      <c r="H14" t="s">
        <v>28</v>
      </c>
      <c r="I14" t="s">
        <v>65</v>
      </c>
      <c r="J14" t="s">
        <v>30</v>
      </c>
      <c r="K14" t="s">
        <v>31</v>
      </c>
      <c r="L14" t="s">
        <v>32</v>
      </c>
      <c r="M14" t="s">
        <v>33</v>
      </c>
      <c r="N14" s="1">
        <v>46035</v>
      </c>
      <c r="O14" s="1">
        <v>46072</v>
      </c>
      <c r="P14" s="1">
        <v>46059</v>
      </c>
      <c r="Q14" s="2">
        <v>12661.28</v>
      </c>
      <c r="R14" t="b">
        <v>0</v>
      </c>
      <c r="S14" s="2">
        <v>40000</v>
      </c>
      <c r="T14" t="s">
        <v>34</v>
      </c>
      <c r="U14" t="s">
        <v>72</v>
      </c>
      <c r="V14" t="s">
        <v>103</v>
      </c>
      <c r="W14" t="s">
        <v>104</v>
      </c>
      <c r="X14">
        <f>Q14*1.16</f>
      </c>
    </row>
    <row r="15">
      <c r="A15" t="str">
        <f>B15</f>
        <v>PIC_TLAJO_014</v>
      </c>
      <c r="B15" t="str">
        <f>HYPERLINK("https://drive.google.com/drive/folders/1t7dibiDBqmJb2bw3WRZbLmBrDhLW6M5k";"PIC_TLAJO_014")</f>
        <v>PIC_TLAJO_014</v>
      </c>
      <c r="C15" t="s">
        <v>24</v>
      </c>
      <c r="D15" t="s">
        <v>39</v>
      </c>
      <c r="E15" t="s">
        <v>105</v>
      </c>
      <c r="F15" t="s">
        <v>106</v>
      </c>
      <c r="G15" t="str">
        <f>HYPERLINK("https://www.google.com/maps/search/?api=1&amp;query=Camino%20Real%20181%2C%20Los%20Amiales%2C%2045654%20Tlajomulco%20de%20Zuniga%2C%20Jal.";"Camino Real 181, Los Amiales, 45654 Tlajomulco de Zuniga, Jal.")</f>
        <v>Camino Real 181, Los Amiales, 45654 Tlajomulco de Zuniga, Jal.</v>
      </c>
      <c r="H15" t="s">
        <v>42</v>
      </c>
      <c r="I15" t="s">
        <v>70</v>
      </c>
      <c r="J15" t="s">
        <v>44</v>
      </c>
      <c r="K15" t="s">
        <v>31</v>
      </c>
      <c r="L15" t="s">
        <v>32</v>
      </c>
      <c r="M15" t="s">
        <v>45</v>
      </c>
      <c r="N15" s="1">
        <v>46067</v>
      </c>
      <c r="R15" t="b">
        <v>0</v>
      </c>
      <c r="S15" s="2">
        <v>40000</v>
      </c>
      <c r="T15">
        <v>3422.38</v>
      </c>
      <c r="U15" t="s">
        <v>78</v>
      </c>
      <c r="X15">
        <f>Q15*1.16</f>
      </c>
    </row>
    <row r="16">
      <c r="A16" t="str">
        <f>B16</f>
        <v>PRV_INFVT_015</v>
      </c>
      <c r="B16" t="str">
        <f>HYPERLINK("https://drive.google.com/drive/folders/1sLvEeAteoPKn0QL2eSumr92Q80gWjrQ6";"PRV_INFVT_015")</f>
        <v>PRV_INFVT_015</v>
      </c>
      <c r="C16" t="s">
        <v>83</v>
      </c>
      <c r="D16" t="s">
        <v>25</v>
      </c>
      <c r="E16" t="s">
        <v>107</v>
      </c>
      <c r="F16" t="s">
        <v>108</v>
      </c>
      <c r="G16" t="str">
        <f>HYPERLINK("https://www.google.com/maps/search/?api=1&amp;query=Rinconada%20del%20Sol%20218%2C%20Villas%20de%20la%20Hacienda%2C%2045645%20Tlajomulco%20de%20Zuniga%2C%20Jal.";"Rinconada del Sol 218, Villas de la Hacienda, 45645 Tlajomulco de Zuniga, Jal.")</f>
        <v>Rinconada del Sol 218, Villas de la Hacienda, 45645 Tlajomulco de Zuniga, Jal.</v>
      </c>
      <c r="H16" t="s">
        <v>49</v>
      </c>
      <c r="I16" t="s">
        <v>76</v>
      </c>
      <c r="J16" t="s">
        <v>51</v>
      </c>
      <c r="K16" t="s">
        <v>31</v>
      </c>
      <c r="L16" t="s">
        <v>32</v>
      </c>
      <c r="M16" t="s">
        <v>52</v>
      </c>
      <c r="N16" s="1">
        <v>46096</v>
      </c>
      <c r="O16" s="1">
        <v>46135</v>
      </c>
      <c r="P16" s="1">
        <v>46122</v>
      </c>
      <c r="Q16" s="2">
        <v>24641.22</v>
      </c>
      <c r="R16" t="b">
        <v>0</v>
      </c>
      <c r="S16" s="2">
        <v>40000</v>
      </c>
      <c r="T16">
        <v>7473.91</v>
      </c>
      <c r="U16" t="s">
        <v>35</v>
      </c>
      <c r="W16" t="s">
        <v>109</v>
      </c>
      <c r="X16">
        <f>Q16*1.16</f>
      </c>
    </row>
    <row r="17">
      <c r="A17" t="str">
        <f>B17</f>
        <v>PIC_TLAJO_016</v>
      </c>
      <c r="B17" t="str">
        <f>HYPERLINK("https://drive.google.com/drive/folders/1nbqrSqHFewkm28PuF1Dn28EdL4ohvpvW?usp=drive_link";"PIC_TLAJO_016")</f>
        <v>PIC_TLAJO_016</v>
      </c>
      <c r="C17" t="s">
        <v>24</v>
      </c>
      <c r="D17" t="s">
        <v>25</v>
      </c>
      <c r="E17" t="s">
        <v>110</v>
      </c>
      <c r="F17" t="s">
        <v>111</v>
      </c>
      <c r="G17" t="str">
        <f>HYPERLINK("https://www.google.com/maps/search/?api=1&amp;query=Hacienda%20Vieja%20255%2C%20El%20Palomar%2C%2045640%20Tlajomulco%20de%20Zuniga%2C%20Jal.";"Hacienda Vieja 255, El Palomar, 45640 Tlajomulco de Zuniga, Jal.")</f>
        <v>Hacienda Vieja 255, El Palomar, 45640 Tlajomulco de Zuniga, Jal.</v>
      </c>
      <c r="H17" t="s">
        <v>58</v>
      </c>
      <c r="I17" t="s">
        <v>81</v>
      </c>
      <c r="J17" t="s">
        <v>60</v>
      </c>
      <c r="K17" t="s">
        <v>31</v>
      </c>
      <c r="L17" t="s">
        <v>32</v>
      </c>
      <c r="M17" t="s">
        <v>61</v>
      </c>
      <c r="N17" s="1">
        <v>46128</v>
      </c>
      <c r="O17" s="1">
        <v>46168</v>
      </c>
      <c r="P17" s="1">
        <v>46155</v>
      </c>
      <c r="Q17" s="2">
        <v>32039.45</v>
      </c>
      <c r="R17" t="b">
        <v>0</v>
      </c>
      <c r="S17" s="2">
        <v>40000</v>
      </c>
      <c r="T17">
        <v>7792.24</v>
      </c>
      <c r="U17" t="s">
        <v>46</v>
      </c>
      <c r="V17" t="s">
        <v>112</v>
      </c>
      <c r="X17">
        <f>Q17*1.16</f>
      </c>
    </row>
    <row r="18">
      <c r="A18" t="str">
        <f>B18</f>
        <v>PRV_INFVT_017</v>
      </c>
      <c r="B18" t="str">
        <f>HYPERLINK("https://drive.google.com/drive/folders/1XLm51oYn3Fe4ZtkaKRHERqWKzATzK5LH";"PRV_INFVT_017")</f>
        <v>PRV_INFVT_017</v>
      </c>
      <c r="C18" t="s">
        <v>83</v>
      </c>
      <c r="D18" t="s">
        <v>100</v>
      </c>
      <c r="E18" t="s">
        <v>113</v>
      </c>
      <c r="F18" t="s">
        <v>114</v>
      </c>
      <c r="G18" t="str">
        <f>HYPERLINK("https://www.google.com/maps/search/?api=1&amp;query=Portal%20de%20San%20Juan%20292%2C%20Santa%20Fe%2C%2045653%20Tlajomulco%20de%20Zuniga%2C%20Jal.";"Portal de San Juan 292, Santa Fe, 45653 Tlajomulco de Zuniga, Jal.")</f>
        <v>Portal de San Juan 292, Santa Fe, 45653 Tlajomulco de Zuniga, Jal.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66</v>
      </c>
      <c r="N18" s="1">
        <v>46159</v>
      </c>
      <c r="P18" s="1">
        <v>46187</v>
      </c>
      <c r="Q18" s="2">
        <v>14187.95</v>
      </c>
      <c r="R18" t="b">
        <v>0</v>
      </c>
      <c r="S18" s="2">
        <v>40000</v>
      </c>
      <c r="T18" t="s">
        <v>34</v>
      </c>
      <c r="U18" t="s">
        <v>53</v>
      </c>
      <c r="V18" t="s">
        <v>115</v>
      </c>
      <c r="W18" t="s">
        <v>116</v>
      </c>
      <c r="X18">
        <f>Q18*1.16</f>
      </c>
    </row>
    <row r="19">
      <c r="A19" t="str">
        <f>B19</f>
        <v>PIC_TLAJO_018</v>
      </c>
      <c r="B19" t="str">
        <f>HYPERLINK("https://drive.google.com/drive/folders/1kjmSYJ8T6BwnKptaPMnGnZK6aU0b4yRC";"PIC_TLAJO_018")</f>
        <v>PIC_TLAJO_018</v>
      </c>
      <c r="C19" t="s">
        <v>24</v>
      </c>
      <c r="D19" t="s">
        <v>25</v>
      </c>
      <c r="E19" t="s">
        <v>117</v>
      </c>
      <c r="F19" t="s">
        <v>118</v>
      </c>
      <c r="G19" t="str">
        <f>HYPERLINK("https://www.google.com/maps/search/?api=1&amp;query=Valle%20de%20Toluca%20329%2C%20Hacienda%20Santa%20Fe%2C%2045654%20Tlajomulco%20de%20Zuniga%2C%20Jal.";"Valle de Toluca 329, Hacienda Santa Fe, 45654 Tlajomulco de Zuniga, Jal.")</f>
        <v>Valle de Toluca 329, Hacienda Santa Fe, 45654 Tlajomulco de Zuniga, Jal.</v>
      </c>
      <c r="H19" t="s">
        <v>42</v>
      </c>
      <c r="I19" t="s">
        <v>43</v>
      </c>
      <c r="J19" t="s">
        <v>44</v>
      </c>
      <c r="K19" t="s">
        <v>31</v>
      </c>
      <c r="L19" t="s">
        <v>32</v>
      </c>
      <c r="M19" t="s">
        <v>71</v>
      </c>
      <c r="N19" s="1">
        <v>46191</v>
      </c>
      <c r="O19" s="1">
        <v>46233</v>
      </c>
      <c r="P19" s="1">
        <v>46220</v>
      </c>
      <c r="Q19" s="2">
        <v>26697.45</v>
      </c>
      <c r="R19" t="b">
        <v>0</v>
      </c>
      <c r="S19" s="2">
        <v>40000</v>
      </c>
      <c r="T19">
        <v>2931.15</v>
      </c>
      <c r="U19" t="s">
        <v>62</v>
      </c>
      <c r="W19" t="s">
        <v>119</v>
      </c>
      <c r="X19">
        <f>Q19*1.16</f>
      </c>
    </row>
    <row r="20">
      <c r="A20" t="str">
        <f>B20</f>
        <v>PRV_INFVT_019</v>
      </c>
      <c r="B20" t="str">
        <f>HYPERLINK("https://drive.google.com/drive/folders/1uwbhricTgwsBKHarGHWsS0XUy3jEd7rd";"PRV_INFVT_019")</f>
        <v>PRV_INFVT_019</v>
      </c>
      <c r="C20" t="s">
        <v>83</v>
      </c>
      <c r="D20" t="s">
        <v>55</v>
      </c>
      <c r="E20" t="s">
        <v>120</v>
      </c>
      <c r="F20" t="s">
        <v>121</v>
      </c>
      <c r="G20" t="str">
        <f>HYPERLINK("https://www.google.com/maps/search/?api=1&amp;query=Cerro%20Gordo%20366%2C%20Chulavista%2C%2045645%20Tlajomulco%20de%20Zuniga%2C%20Jal.";"Cerro Gordo 366, Chulavista, 45645 Tlajomulco de Zuniga, Jal.")</f>
        <v>Cerro Gordo 366, Chulavista, 45645 Tlajomulco de Zuniga, Jal.</v>
      </c>
      <c r="H20" t="s">
        <v>49</v>
      </c>
      <c r="I20" t="s">
        <v>50</v>
      </c>
      <c r="J20" t="s">
        <v>51</v>
      </c>
      <c r="K20" t="s">
        <v>31</v>
      </c>
      <c r="L20" t="s">
        <v>32</v>
      </c>
      <c r="M20" t="s">
        <v>77</v>
      </c>
      <c r="N20" s="1">
        <v>46041</v>
      </c>
      <c r="Q20" s="2">
        <v>31121.22</v>
      </c>
      <c r="R20" t="b">
        <v>1</v>
      </c>
      <c r="S20" s="2">
        <v>80000</v>
      </c>
      <c r="T20">
        <v>4133.91</v>
      </c>
      <c r="U20" t="s">
        <v>67</v>
      </c>
      <c r="X20">
        <f>Q20*1.16</f>
      </c>
    </row>
    <row r="21">
      <c r="A21" t="str">
        <f>B21</f>
        <v>PIC_TLAJO_020</v>
      </c>
      <c r="B21" t="str">
        <f>HYPERLINK("https://drive.google.com/drive/folders/1vTXnenTrw09Tvg05Jumsj7Z9qGfA4o7c";"PIC_TLAJO_020")</f>
        <v>PIC_TLAJO_020</v>
      </c>
      <c r="C21" t="s">
        <v>24</v>
      </c>
      <c r="D21" t="s">
        <v>25</v>
      </c>
      <c r="E21" t="s">
        <v>122</v>
      </c>
      <c r="F21" t="s">
        <v>123</v>
      </c>
      <c r="G21" t="str">
        <f>HYPERLINK("https://www.google.com/maps/search/?api=1&amp;query=Prado%20Sur%20403%2C%20LOMAS%2C%2045640%20Tlajomulco%20de%20Zuniga%2C%20Jal.";"Prado Sur 403, LOMAS, 45640 Tlajomulco de Zuniga, Jal.")</f>
        <v>Prado Sur 403, LOMAS, 45640 Tlajomulco de Zuniga, Jal.</v>
      </c>
      <c r="H21" t="s">
        <v>58</v>
      </c>
      <c r="I21" t="s">
        <v>59</v>
      </c>
      <c r="J21" t="s">
        <v>60</v>
      </c>
      <c r="K21" t="s">
        <v>31</v>
      </c>
      <c r="L21" t="s">
        <v>32</v>
      </c>
      <c r="M21" t="s">
        <v>82</v>
      </c>
      <c r="N21" s="1">
        <v>46073</v>
      </c>
      <c r="O21" s="1">
        <v>46117</v>
      </c>
      <c r="P21" s="1">
        <v>46104</v>
      </c>
      <c r="Q21" s="2">
        <v>29401.35</v>
      </c>
      <c r="R21" t="b">
        <v>0</v>
      </c>
      <c r="S21" s="2">
        <v>40000</v>
      </c>
      <c r="T21">
        <v>977.3</v>
      </c>
      <c r="U21" t="s">
        <v>72</v>
      </c>
      <c r="V21" t="s">
        <v>124</v>
      </c>
      <c r="X21">
        <f>Q21*1.16</f>
      </c>
    </row>
    <row r="22">
      <c r="A22" t="str">
        <f>B22</f>
        <v>BNC_HSBC_021</v>
      </c>
      <c r="B22" t="str">
        <f>HYPERLINK("https://drive.google.com/drive/folders/1t6HHmN7UC8N9maKQ8FT09yxk0Vkvt8hb?usp=drive_link";"BNC_HSBC_021")</f>
        <v>BNC_HSBC_021</v>
      </c>
      <c r="C22" t="s">
        <v>38</v>
      </c>
      <c r="D22" t="s">
        <v>25</v>
      </c>
      <c r="E22" t="s">
        <v>125</v>
      </c>
      <c r="F22" t="s">
        <v>126</v>
      </c>
      <c r="G22" t="str">
        <f>HYPERLINK("https://www.google.com/maps/search/?api=1&amp;query=Av.%20Temuco%20440%2C%20Lomas%20del%20Sur%2C%2045653%20Tlajomulco%20de%20Zuniga%2C%20Jal.";"Av. Temuco 440, Lomas del Sur, 45653 Tlajomulco de Zuniga, Jal.")</f>
        <v>Av. Temuco 440, Lomas del Sur, 45653 Tlajomulco de Zuniga, Jal.</v>
      </c>
      <c r="H22" t="s">
        <v>28</v>
      </c>
      <c r="I22" t="s">
        <v>65</v>
      </c>
      <c r="J22" t="s">
        <v>30</v>
      </c>
      <c r="K22" t="s">
        <v>31</v>
      </c>
      <c r="L22" t="s">
        <v>32</v>
      </c>
      <c r="M22" t="s">
        <v>86</v>
      </c>
      <c r="N22" s="1">
        <v>46102</v>
      </c>
      <c r="O22" s="1">
        <v>46147</v>
      </c>
      <c r="P22" s="1">
        <v>46114</v>
      </c>
      <c r="Q22" s="2">
        <v>27566.93</v>
      </c>
      <c r="R22" t="b">
        <v>0</v>
      </c>
      <c r="S22" s="2">
        <v>40000</v>
      </c>
      <c r="T22" t="s">
        <v>34</v>
      </c>
      <c r="U22" t="s">
        <v>78</v>
      </c>
      <c r="W22" t="s">
        <v>127</v>
      </c>
      <c r="X22">
        <f>Q22*1.16</f>
      </c>
    </row>
    <row r="23">
      <c r="A23" t="str">
        <f>B23</f>
        <v>PIC_TLAJO_022</v>
      </c>
      <c r="B23" t="str">
        <f>HYPERLINK("https://drive.google.com/drive/folders/11qctPcsvhH6mSmqM4j7GdqnZ7CZykMoM";"PIC_TLAJO_022")</f>
        <v>PIC_TLAJO_022</v>
      </c>
      <c r="C23" t="s">
        <v>24</v>
      </c>
      <c r="D23" t="s">
        <v>128</v>
      </c>
      <c r="E23" t="s">
        <v>129</v>
      </c>
      <c r="F23" t="s">
        <v>130</v>
      </c>
      <c r="G23" t="str">
        <f>HYPERLINK("https://www.google.com/maps/search/?api=1&amp;query=Cerro%20de%20la%20Cruz%20477%2C%20Los%20Amiales%2C%2045654%20Tlajomulco%20de%20Zuniga%2C%20Jal.";"Cerro de la Cruz 477, Los Amiales, 45654 Tlajomulco de Zuniga, Jal.")</f>
        <v>Cerro de la Cruz 477, Los Amiales, 45654 Tlajomulco de Zuniga, Jal.</v>
      </c>
      <c r="H23" t="s">
        <v>42</v>
      </c>
      <c r="I23" t="s">
        <v>70</v>
      </c>
      <c r="J23" t="s">
        <v>44</v>
      </c>
      <c r="K23" t="s">
        <v>31</v>
      </c>
      <c r="L23" t="s">
        <v>32</v>
      </c>
      <c r="M23" t="s">
        <v>89</v>
      </c>
      <c r="N23" s="1">
        <v>46134</v>
      </c>
      <c r="Q23" s="2">
        <v>19437.53</v>
      </c>
      <c r="R23" t="b">
        <v>0</v>
      </c>
      <c r="S23" s="2">
        <v>40000</v>
      </c>
      <c r="T23">
        <v>8126.59</v>
      </c>
      <c r="U23" t="s">
        <v>35</v>
      </c>
      <c r="X23">
        <f>Q23*1.16</f>
      </c>
    </row>
    <row r="24">
      <c r="A24" t="str">
        <f>B24</f>
        <v>PIC_TLAJO_023</v>
      </c>
      <c r="B24" t="str">
        <f>HYPERLINK("https://drive.google.com/drive/folders/1ZX1dg27kxG7ky8syt6h4bhM4AHEsGwYn";"PIC_TLAJO_023")</f>
        <v>PIC_TLAJO_023</v>
      </c>
      <c r="C24" t="s">
        <v>24</v>
      </c>
      <c r="D24" t="s">
        <v>100</v>
      </c>
      <c r="E24" t="s">
        <v>131</v>
      </c>
      <c r="F24" t="s">
        <v>132</v>
      </c>
      <c r="G24" t="str">
        <f>HYPERLINK("https://www.google.com/maps/search/?api=1&amp;query=Cerro%20la%20Atalaya%20114%2C%20Villas%20de%20la%20Hacienda%2C%2045645%20Tlajomulco%20de%20Zuniga%2C%20Jal.";"Cerro la Atalaya 114, Villas de la Hacienda, 45645 Tlajomulco de Zuniga, Jal.")</f>
        <v>Cerro la Atalaya 114, Villas de la Hacienda, 45645 Tlajomulco de Zuniga, Jal.</v>
      </c>
      <c r="H24" t="s">
        <v>49</v>
      </c>
      <c r="I24" t="s">
        <v>76</v>
      </c>
      <c r="J24" t="s">
        <v>51</v>
      </c>
      <c r="K24" t="s">
        <v>31</v>
      </c>
      <c r="L24" t="s">
        <v>32</v>
      </c>
      <c r="M24" t="s">
        <v>94</v>
      </c>
      <c r="N24" s="1">
        <v>46165</v>
      </c>
      <c r="O24" s="1">
        <v>46212</v>
      </c>
      <c r="P24" s="1">
        <v>46179</v>
      </c>
      <c r="Q24" s="2">
        <v>20894.65</v>
      </c>
      <c r="R24" t="b">
        <v>0</v>
      </c>
      <c r="S24" s="2">
        <v>40000</v>
      </c>
      <c r="T24">
        <v>4614.39</v>
      </c>
      <c r="U24" t="s">
        <v>46</v>
      </c>
      <c r="V24" t="s">
        <v>133</v>
      </c>
      <c r="W24" t="s">
        <v>134</v>
      </c>
      <c r="X24">
        <f>Q24*1.16</f>
      </c>
    </row>
    <row r="25">
      <c r="A25" t="str">
        <f>B25</f>
        <v>PIC_TLAJO_024</v>
      </c>
      <c r="B25" t="str">
        <f>HYPERLINK("https://drive.google.com/drive/folders/1HtCHnkP0P6Uo5QKjWj1a56WfPr3q9jpD";"PIC_TLAJO_024")</f>
        <v>PIC_TLAJO_024</v>
      </c>
      <c r="C25" t="s">
        <v>24</v>
      </c>
      <c r="D25" t="s">
        <v>55</v>
      </c>
      <c r="E25" t="s">
        <v>135</v>
      </c>
      <c r="F25" t="s">
        <v>136</v>
      </c>
      <c r="G25" t="str">
        <f>HYPERLINK("https://www.google.com/maps/search/?api=1&amp;query=Monte%20Cabra%20178%20E%2C%20El%20Palomar%2C%2045640%20Tlajomulco%20de%20Zuniga%2C%20Jal.";"Monte Cabra 178 E, El Palomar, 45640 Tlajomulco de Zuniga, Jal.")</f>
        <v>Monte Cabra 178 E, El Palomar, 45640 Tlajomulco de Zuniga, Jal.</v>
      </c>
      <c r="H25" t="s">
        <v>58</v>
      </c>
      <c r="I25" t="s">
        <v>81</v>
      </c>
      <c r="J25" t="s">
        <v>60</v>
      </c>
      <c r="K25" t="s">
        <v>31</v>
      </c>
      <c r="L25" t="s">
        <v>32</v>
      </c>
      <c r="M25" t="s">
        <v>99</v>
      </c>
      <c r="N25" s="1">
        <v>46197</v>
      </c>
      <c r="R25" t="b">
        <v>0</v>
      </c>
      <c r="S25" s="2">
        <v>40000</v>
      </c>
      <c r="T25">
        <v>2789.03</v>
      </c>
      <c r="U25" t="s">
        <v>53</v>
      </c>
      <c r="X25">
        <f>Q25*1.16</f>
      </c>
    </row>
    <row r="26">
      <c r="A26" t="str">
        <f>B26</f>
        <v>BNC_HSBC_025</v>
      </c>
      <c r="B26" t="str">
        <f>HYPERLINK("https://drive.google.com/drive/folders/1Fa9yAYccuMd1MaXPdFWAtHDyJMGHFGpX";"BNC_HSBC_025")</f>
        <v>BNC_HSBC_025</v>
      </c>
      <c r="C26" t="s">
        <v>38</v>
      </c>
      <c r="D26" t="s">
        <v>100</v>
      </c>
      <c r="E26" t="s">
        <v>137</v>
      </c>
      <c r="F26" t="s">
        <v>138</v>
      </c>
      <c r="G26" t="str">
        <f>HYPERLINK("https://www.google.com/maps/search/?api=1&amp;query=Cerro%20de%20las%207%20Gotas%20188%2C%20Santa%20Fe%2C%2045653%20Tlajomulco%20de%20Zuniga%2C%20Jal.";"Cerro de las 7 Gotas 188, Santa Fe, 45653 Tlajomulco de Zuniga, Jal.")</f>
        <v>Cerro de las 7 Gotas 188, Santa Fe, 45653 Tlajomulco de Zuniga, Jal.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33</v>
      </c>
      <c r="N26" s="1">
        <v>46047</v>
      </c>
      <c r="O26" s="1">
        <v>46096</v>
      </c>
      <c r="P26" s="1">
        <v>46063</v>
      </c>
      <c r="Q26" s="2">
        <v>23063.43</v>
      </c>
      <c r="R26" t="b">
        <v>0</v>
      </c>
      <c r="S26" s="2">
        <v>40000</v>
      </c>
      <c r="T26" t="s">
        <v>34</v>
      </c>
      <c r="U26" t="s">
        <v>62</v>
      </c>
      <c r="V26" t="s">
        <v>139</v>
      </c>
      <c r="W26" t="s">
        <v>140</v>
      </c>
      <c r="X26">
        <f>Q26*1.16</f>
      </c>
    </row>
    <row r="27">
      <c r="A27" t="str">
        <f>B27</f>
        <v>PIC_TLAJO_026</v>
      </c>
      <c r="B27" t="str">
        <f>HYPERLINK("https://drive.google.com/drive/folders/1wZP7D48v7hhML2XnySNnNB88wMDB3PSz?usp=drive_link";"PIC_TLAJO_026")</f>
        <v>PIC_TLAJO_026</v>
      </c>
      <c r="C27" t="s">
        <v>24</v>
      </c>
      <c r="D27" t="s">
        <v>39</v>
      </c>
      <c r="E27" t="s">
        <v>141</v>
      </c>
      <c r="F27" t="s">
        <v>142</v>
      </c>
      <c r="G27" t="str">
        <f>HYPERLINK("https://www.google.com/maps/search/?api=1&amp;query=Esteli%20225%2C%20Hacienda%20Santa%20Fe%2C%2045654%20Tlajomulco%20de%20Zuniga%2C%20Jal.";"Esteli 225, Hacienda Santa Fe, 45654 Tlajomulco de Zuniga, Jal.")</f>
        <v>Esteli 225, Hacienda Santa Fe, 45654 Tlajomulco de Zuniga, Jal.</v>
      </c>
      <c r="H27" t="s">
        <v>42</v>
      </c>
      <c r="I27" t="s">
        <v>43</v>
      </c>
      <c r="J27" t="s">
        <v>44</v>
      </c>
      <c r="K27" t="s">
        <v>31</v>
      </c>
      <c r="L27" t="s">
        <v>32</v>
      </c>
      <c r="M27" t="s">
        <v>45</v>
      </c>
      <c r="N27" s="1">
        <v>46079</v>
      </c>
      <c r="R27" t="b">
        <v>0</v>
      </c>
      <c r="S27" s="2">
        <v>40000</v>
      </c>
      <c r="T27">
        <v>4771.57</v>
      </c>
      <c r="U27" t="s">
        <v>67</v>
      </c>
      <c r="X27">
        <f>Q27*1.16</f>
      </c>
    </row>
    <row r="28">
      <c r="A28" t="str">
        <f>B28</f>
        <v>PIC_TLAJO_027</v>
      </c>
      <c r="B28" t="str">
        <f>HYPERLINK("https://drive.google.com/drive/folders/17byQLGznfBaobJRDHfoLnfyCaeFBP9JB";"PIC_TLAJO_027")</f>
        <v>PIC_TLAJO_027</v>
      </c>
      <c r="C28" t="s">
        <v>24</v>
      </c>
      <c r="D28" t="s">
        <v>25</v>
      </c>
      <c r="E28" t="s">
        <v>143</v>
      </c>
      <c r="F28" t="s">
        <v>144</v>
      </c>
      <c r="G28" t="str">
        <f>HYPERLINK("https://www.google.com/maps/search/?api=1&amp;query=Montevideo%20262%2C%20Chulavista%2C%2045645%20Tlajomulco%20de%20Zuniga%2C%20Jal.";"Montevideo 262, Chulavista, 45645 Tlajomulco de Zuniga, Jal.")</f>
        <v>Montevideo 262, Chulavista, 45645 Tlajomulco de Zuniga, Jal.</v>
      </c>
      <c r="H28" t="s">
        <v>49</v>
      </c>
      <c r="I28" t="s">
        <v>50</v>
      </c>
      <c r="J28" t="s">
        <v>51</v>
      </c>
      <c r="K28" t="s">
        <v>31</v>
      </c>
      <c r="L28" t="s">
        <v>32</v>
      </c>
      <c r="M28" t="s">
        <v>52</v>
      </c>
      <c r="N28" s="1">
        <v>46108</v>
      </c>
      <c r="O28" s="1">
        <v>46159</v>
      </c>
      <c r="P28" s="1">
        <v>46126</v>
      </c>
      <c r="Q28" s="2">
        <v>19330.83</v>
      </c>
      <c r="R28" t="b">
        <v>0</v>
      </c>
      <c r="S28" s="2">
        <v>40000</v>
      </c>
      <c r="T28">
        <v>7946.28</v>
      </c>
      <c r="U28" t="s">
        <v>72</v>
      </c>
      <c r="W28" t="s">
        <v>145</v>
      </c>
      <c r="X28">
        <f>Q28*1.16</f>
      </c>
    </row>
    <row r="29">
      <c r="A29" t="str">
        <f>B29</f>
        <v>PRV_INFVT_028</v>
      </c>
      <c r="B29" t="str">
        <f>HYPERLINK("https://drive.google.com/drive/folders/1Rcgjf9FCoDXRE26nfei7eaJuNaWA3Ftp";"PRV_INFVT_028")</f>
        <v>PRV_INFVT_028</v>
      </c>
      <c r="C29" t="s">
        <v>83</v>
      </c>
      <c r="D29" t="s">
        <v>128</v>
      </c>
      <c r="E29" t="s">
        <v>146</v>
      </c>
      <c r="F29" t="s">
        <v>147</v>
      </c>
      <c r="G29" t="str">
        <f>HYPERLINK("https://www.google.com/maps/search/?api=1&amp;query=Av.%20Bogota%20299%2C%20LOMAS%2C%2045640%20Tlajomulco%20de%20Zuniga%2C%20Jal.";"Av. Bogota 299, LOMAS, 45640 Tlajomulco de Zuniga, Jal.")</f>
        <v>Av. Bogota 299, LOMAS, 45640 Tlajomulco de Zuniga, Jal.</v>
      </c>
      <c r="H29" t="s">
        <v>58</v>
      </c>
      <c r="I29" t="s">
        <v>59</v>
      </c>
      <c r="J29" t="s">
        <v>60</v>
      </c>
      <c r="K29" t="s">
        <v>31</v>
      </c>
      <c r="L29" t="s">
        <v>32</v>
      </c>
      <c r="M29" t="s">
        <v>61</v>
      </c>
      <c r="N29" s="1">
        <v>46113</v>
      </c>
      <c r="Q29" s="2">
        <v>35442.08</v>
      </c>
      <c r="R29" t="b">
        <v>1</v>
      </c>
      <c r="S29" s="2">
        <v>80000</v>
      </c>
      <c r="T29">
        <v>3518.69</v>
      </c>
      <c r="U29" t="s">
        <v>78</v>
      </c>
      <c r="X29">
        <f>Q29*1.16</f>
      </c>
    </row>
    <row r="30">
      <c r="A30" t="str">
        <f>B30</f>
        <v>PIC_TLAJO_029</v>
      </c>
      <c r="B30" t="str">
        <f>HYPERLINK("https://drive.google.com/drive/folders/19mk2unxy2kH5FvBq9bXwngtHfuhji20Q";"PIC_TLAJO_029")</f>
        <v>PIC_TLAJO_029</v>
      </c>
      <c r="C30" t="s">
        <v>24</v>
      </c>
      <c r="D30" t="s">
        <v>100</v>
      </c>
      <c r="E30" t="s">
        <v>148</v>
      </c>
      <c r="F30" t="s">
        <v>149</v>
      </c>
      <c r="G30" t="str">
        <f>HYPERLINK("https://www.google.com/maps/search/?api=1&amp;query=Blvd.%20Republica%20de%20Honduras%20336%2C%20Lomas%20del%20Sur%2C%2045653%20Tlajomulco%20de%20Zuniga%2C%20Jal.";"Blvd. Republica de Honduras 336, Lomas del Sur, 45653 Tlajomulco de Zuniga, Jal.")</f>
        <v>Blvd. Republica de Honduras 336, Lomas del Sur, 45653 Tlajomulco de Zuniga, Jal.</v>
      </c>
      <c r="H30" t="s">
        <v>28</v>
      </c>
      <c r="I30" t="s">
        <v>65</v>
      </c>
      <c r="J30" t="s">
        <v>30</v>
      </c>
      <c r="K30" t="s">
        <v>31</v>
      </c>
      <c r="L30" t="s">
        <v>32</v>
      </c>
      <c r="M30" t="s">
        <v>66</v>
      </c>
      <c r="N30" s="1">
        <v>46144</v>
      </c>
      <c r="O30" s="1">
        <v>46197</v>
      </c>
      <c r="P30" s="1">
        <v>46164</v>
      </c>
      <c r="Q30" s="2">
        <v>17104.0</v>
      </c>
      <c r="R30" t="b">
        <v>0</v>
      </c>
      <c r="S30" s="2">
        <v>40000</v>
      </c>
      <c r="T30" t="s">
        <v>34</v>
      </c>
      <c r="U30" t="s">
        <v>35</v>
      </c>
      <c r="V30" t="s">
        <v>150</v>
      </c>
      <c r="W30" t="s">
        <v>151</v>
      </c>
      <c r="X30">
        <f>Q30*1.16</f>
      </c>
    </row>
    <row r="31">
      <c r="A31" t="str">
        <f>B31</f>
        <v>PRV_INFVT_030</v>
      </c>
      <c r="B31" t="str">
        <f>HYPERLINK("https://drive.google.com/drive/folders/1CSFjsVFXcpJwPovHojXUEzrYFpGn4Ybo";"PRV_INFVT_030")</f>
        <v>PRV_INFVT_030</v>
      </c>
      <c r="C31" t="s">
        <v>83</v>
      </c>
      <c r="D31" t="s">
        <v>152</v>
      </c>
      <c r="E31" t="s">
        <v>153</v>
      </c>
      <c r="F31" t="s">
        <v>154</v>
      </c>
      <c r="G31" t="str">
        <f>HYPERLINK("https://www.google.com/maps/search/?api=1&amp;query=Paseo%20de%20los%20Agaves%20373%2C%20Los%20Amiales%2C%2045654%20Tlajomulco%20de%20Zuniga%2C%20Jal.";"Paseo de los Agaves 373, Los Amiales, 45654 Tlajomulco de Zuniga, Jal.")</f>
        <v>Paseo de los Agaves 373, Los Amiales, 45654 Tlajomulco de Zuniga, Jal.</v>
      </c>
      <c r="H31" t="s">
        <v>42</v>
      </c>
      <c r="I31" t="s">
        <v>70</v>
      </c>
      <c r="J31" t="s">
        <v>44</v>
      </c>
      <c r="K31" t="s">
        <v>31</v>
      </c>
      <c r="L31" t="s">
        <v>32</v>
      </c>
      <c r="M31" t="s">
        <v>71</v>
      </c>
      <c r="N31" s="1">
        <v>46176</v>
      </c>
      <c r="R31" t="b">
        <v>0</v>
      </c>
      <c r="S31" s="2">
        <v>40000</v>
      </c>
      <c r="T31">
        <v>8874.57</v>
      </c>
      <c r="U31" t="s">
        <v>46</v>
      </c>
      <c r="X31">
        <f>Q31*1.16</f>
      </c>
    </row>
    <row r="32">
      <c r="A32" t="str">
        <f>B32</f>
        <v>BNC_HSBC_031</v>
      </c>
      <c r="B32" t="str">
        <f>HYPERLINK("https://drive.google.com/drive/folders/1MPkfWN8DvFnGuDG4Nj6qEhhKmETYVVyC?usp=drive_link";"BNC_HSBC_031")</f>
        <v>BNC_HSBC_031</v>
      </c>
      <c r="C32" t="s">
        <v>38</v>
      </c>
      <c r="D32" t="s">
        <v>25</v>
      </c>
      <c r="E32" t="s">
        <v>155</v>
      </c>
      <c r="F32" t="s">
        <v>156</v>
      </c>
      <c r="G32" t="str">
        <f>HYPERLINK("https://www.google.com/maps/search/?api=1&amp;query=Volcan%20Paricutin%20410%2C%20Villas%20de%20la%20Hacienda%2C%2045645%20Tlajomulco%20de%20Zuniga%2C%20Jal.";"Volcan Paricutin 410, Villas de la Hacienda, 45645 Tlajomulco de Zuniga, Jal.")</f>
        <v>Volcan Paricutin 410, Villas de la Hacienda, 45645 Tlajomulco de Zuniga, Jal.</v>
      </c>
      <c r="H32" t="s">
        <v>49</v>
      </c>
      <c r="I32" t="s">
        <v>76</v>
      </c>
      <c r="J32" t="s">
        <v>51</v>
      </c>
      <c r="K32" t="s">
        <v>31</v>
      </c>
      <c r="L32" t="s">
        <v>32</v>
      </c>
      <c r="M32" t="s">
        <v>77</v>
      </c>
      <c r="N32" s="1">
        <v>46026</v>
      </c>
      <c r="O32" s="1">
        <v>46081</v>
      </c>
      <c r="P32" s="1">
        <v>46048</v>
      </c>
      <c r="Q32" s="2">
        <v>17515.79</v>
      </c>
      <c r="R32" t="b">
        <v>0</v>
      </c>
      <c r="S32" s="2">
        <v>40000</v>
      </c>
      <c r="T32">
        <v>4988.14</v>
      </c>
      <c r="U32" t="s">
        <v>53</v>
      </c>
      <c r="V32" t="s">
        <v>157</v>
      </c>
      <c r="W32" t="s">
        <v>158</v>
      </c>
      <c r="X32">
        <f>Q32*1.16</f>
      </c>
    </row>
    <row r="33">
      <c r="A33" t="str">
        <f>B33</f>
        <v>PIC_TLAJO_032</v>
      </c>
      <c r="B33" t="str">
        <f>HYPERLINK("https://drive.google.com/drive/folders/18KGdChXeKo409KBnaitSeq2ZQF7vhPSG";"PIC_TLAJO_032")</f>
        <v>PIC_TLAJO_032</v>
      </c>
      <c r="C33" t="s">
        <v>24</v>
      </c>
      <c r="D33" t="s">
        <v>25</v>
      </c>
      <c r="E33" t="s">
        <v>159</v>
      </c>
      <c r="F33" t="s">
        <v>160</v>
      </c>
      <c r="G33" t="str">
        <f>HYPERLINK("https://www.google.com/maps/search/?api=1&amp;query=Loma%20Dorada%20447%2C%20El%20Palomar%2C%2045640%20Tlajomulco%20de%20Zuniga%2C%20Jal.";"Loma Dorada 447, El Palomar, 45640 Tlajomulco de Zuniga, Jal.")</f>
        <v>Loma Dorada 447, El Palomar, 45640 Tlajomulco de Zuniga, Jal.</v>
      </c>
      <c r="H33" t="s">
        <v>58</v>
      </c>
      <c r="I33" t="s">
        <v>81</v>
      </c>
      <c r="J33" t="s">
        <v>60</v>
      </c>
      <c r="K33" t="s">
        <v>31</v>
      </c>
      <c r="L33" t="s">
        <v>32</v>
      </c>
      <c r="M33" t="s">
        <v>82</v>
      </c>
      <c r="N33" s="1">
        <v>46058</v>
      </c>
      <c r="O33" s="1">
        <v>46114</v>
      </c>
      <c r="P33" s="1">
        <v>46081</v>
      </c>
      <c r="Q33" s="2">
        <v>32992.34</v>
      </c>
      <c r="R33" t="b">
        <v>0</v>
      </c>
      <c r="S33" s="2">
        <v>40000</v>
      </c>
      <c r="T33">
        <v>8506.34</v>
      </c>
      <c r="U33" t="s">
        <v>62</v>
      </c>
      <c r="V33" t="s">
        <v>161</v>
      </c>
      <c r="X33">
        <f>Q33*1.16</f>
      </c>
    </row>
    <row r="34">
      <c r="A34" t="str">
        <f>B34</f>
        <v>BNC_HSBC_033</v>
      </c>
      <c r="B34" t="str">
        <f>HYPERLINK("https://drive.google.com/drive/folders/1CPyYBdhWBCfLoh2PBbFdNCAfvSbt7Ek7";"BNC_HSBC_033")</f>
        <v>BNC_HSBC_033</v>
      </c>
      <c r="C34" t="s">
        <v>38</v>
      </c>
      <c r="D34" t="s">
        <v>128</v>
      </c>
      <c r="E34" t="s">
        <v>162</v>
      </c>
      <c r="F34" t="s">
        <v>163</v>
      </c>
      <c r="G34" t="str">
        <f>HYPERLINK("https://www.google.com/maps/search/?api=1&amp;query=Real%20de%20Minas%20484%2C%20Santa%20Fe%2C%2045653%20Tlajomulco%20de%20Zuniga%2C%20Jal.";"Real de Minas 484, Santa Fe, 45653 Tlajomulco de Zuniga, Jal.")</f>
        <v>Real de Minas 484, Santa Fe, 45653 Tlajomulco de Zuniga, Jal.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86</v>
      </c>
      <c r="N34" s="1">
        <v>46087</v>
      </c>
      <c r="R34" t="b">
        <v>0</v>
      </c>
      <c r="S34" s="2">
        <v>40000</v>
      </c>
      <c r="T34" t="s">
        <v>34</v>
      </c>
      <c r="U34" t="s">
        <v>67</v>
      </c>
      <c r="X34">
        <f>Q34*1.16</f>
      </c>
    </row>
    <row r="35">
      <c r="A35" t="str">
        <f>B35</f>
        <v>PIC_TLAJO_034</v>
      </c>
      <c r="B35" t="str">
        <f>HYPERLINK("https://drive.google.com/drive/folders/1oTHRBPYmU1HuB2mwG2wG1NXk48KFhTma";"PIC_TLAJO_034")</f>
        <v>PIC_TLAJO_034</v>
      </c>
      <c r="C35" t="s">
        <v>24</v>
      </c>
      <c r="D35" t="s">
        <v>39</v>
      </c>
      <c r="E35" t="s">
        <v>164</v>
      </c>
      <c r="F35" t="s">
        <v>165</v>
      </c>
      <c r="G35" t="str">
        <f>HYPERLINK("https://www.google.com/maps/search/?api=1&amp;query=Camino%20Real%20121%2C%20Hacienda%20Santa%20Fe%2C%2045654%20Tlajomulco%20de%20Zuniga%2C%20Jal.";"Camino Real 121, Hacienda Santa Fe, 45654 Tlajomulco de Zuniga, Jal.")</f>
        <v>Camino Real 121, Hacienda Santa Fe, 45654 Tlajomulco de Zuniga, Jal.</v>
      </c>
      <c r="H35" t="s">
        <v>42</v>
      </c>
      <c r="I35" t="s">
        <v>43</v>
      </c>
      <c r="J35" t="s">
        <v>44</v>
      </c>
      <c r="K35" t="s">
        <v>31</v>
      </c>
      <c r="L35" t="s">
        <v>32</v>
      </c>
      <c r="M35" t="s">
        <v>89</v>
      </c>
      <c r="N35" s="1">
        <v>46119</v>
      </c>
      <c r="Q35" s="2">
        <v>33512.69</v>
      </c>
      <c r="R35" t="b">
        <v>0</v>
      </c>
      <c r="S35" s="2">
        <v>40000</v>
      </c>
      <c r="T35">
        <v>3098.27</v>
      </c>
      <c r="U35" t="s">
        <v>72</v>
      </c>
      <c r="X35">
        <f>Q35*1.16</f>
      </c>
    </row>
    <row r="36">
      <c r="A36" t="str">
        <f>B36</f>
        <v>PIC_TLAJO_035</v>
      </c>
      <c r="B36" t="str">
        <f>HYPERLINK("https://drive.google.com/drive/folders/161MpBjXgEVtKmg3Ho7pjM61p69SjLim2";"PIC_TLAJO_035")</f>
        <v>PIC_TLAJO_035</v>
      </c>
      <c r="C36" t="s">
        <v>24</v>
      </c>
      <c r="D36" t="s">
        <v>100</v>
      </c>
      <c r="E36" t="s">
        <v>166</v>
      </c>
      <c r="F36" t="s">
        <v>167</v>
      </c>
      <c r="G36" t="str">
        <f>HYPERLINK("https://www.google.com/maps/search/?api=1&amp;query=Rinconada%20del%20Sol%20158%2C%20Chulavista%2C%2045645%20Tlajomulco%20de%20Zuniga%2C%20Jal.";"Rinconada del Sol 158, Chulavista, 45645 Tlajomulco de Zuniga, Jal.")</f>
        <v>Rinconada del Sol 158, Chulavista, 45645 Tlajomulco de Zuniga, Jal.</v>
      </c>
      <c r="H36" t="s">
        <v>49</v>
      </c>
      <c r="I36" t="s">
        <v>50</v>
      </c>
      <c r="J36" t="s">
        <v>51</v>
      </c>
      <c r="K36" t="s">
        <v>31</v>
      </c>
      <c r="L36" t="s">
        <v>32</v>
      </c>
      <c r="M36" t="s">
        <v>94</v>
      </c>
      <c r="N36" s="1">
        <v>46150</v>
      </c>
      <c r="O36" s="1">
        <v>46209</v>
      </c>
      <c r="P36" s="1">
        <v>46176</v>
      </c>
      <c r="Q36" s="2">
        <v>32558.78</v>
      </c>
      <c r="R36" t="b">
        <v>0</v>
      </c>
      <c r="S36" s="2">
        <v>40000</v>
      </c>
      <c r="T36">
        <v>7456.69</v>
      </c>
      <c r="U36" t="s">
        <v>78</v>
      </c>
      <c r="V36" t="s">
        <v>168</v>
      </c>
      <c r="W36" t="s">
        <v>169</v>
      </c>
      <c r="X36">
        <f>Q36*1.16</f>
      </c>
    </row>
    <row r="37">
      <c r="A37" t="str">
        <f>B37</f>
        <v>PIC_TLAJO_036</v>
      </c>
      <c r="B37" t="str">
        <f>HYPERLINK("https://drive.google.com/drive/folders/1CipZr6m64qPCcnfJ6PSjzyKCAuwPJPK4?usp=drive_link";"PIC_TLAJO_036")</f>
        <v>PIC_TLAJO_036</v>
      </c>
      <c r="C37" t="s">
        <v>24</v>
      </c>
      <c r="D37" t="s">
        <v>100</v>
      </c>
      <c r="E37" t="s">
        <v>170</v>
      </c>
      <c r="F37" t="s">
        <v>171</v>
      </c>
      <c r="G37" t="str">
        <f>HYPERLINK("https://www.google.com/maps/search/?api=1&amp;query=Hacienda%20Vieja%20195%2C%20LOMAS%2C%2045640%20Tlajomulco%20de%20Zuniga%2C%20Jal.";"Hacienda Vieja 195, LOMAS, 45640 Tlajomulco de Zuniga, Jal.")</f>
        <v>Hacienda Vieja 195, LOMAS, 45640 Tlajomulco de Zuniga, Jal.</v>
      </c>
      <c r="H37" t="s">
        <v>58</v>
      </c>
      <c r="I37" t="s">
        <v>59</v>
      </c>
      <c r="J37" t="s">
        <v>60</v>
      </c>
      <c r="K37" t="s">
        <v>31</v>
      </c>
      <c r="L37" t="s">
        <v>32</v>
      </c>
      <c r="M37" t="s">
        <v>99</v>
      </c>
      <c r="N37" s="1">
        <v>46182</v>
      </c>
      <c r="O37" s="1">
        <v>46242</v>
      </c>
      <c r="P37" s="1">
        <v>46209</v>
      </c>
      <c r="Q37" s="2">
        <v>31517.26</v>
      </c>
      <c r="R37" t="b">
        <v>0</v>
      </c>
      <c r="S37" s="2">
        <v>40000</v>
      </c>
      <c r="T37">
        <v>7618.69</v>
      </c>
      <c r="U37" t="s">
        <v>35</v>
      </c>
      <c r="X37">
        <f>Q37*1.16</f>
      </c>
    </row>
    <row r="38">
      <c r="A38" t="str">
        <f>B38</f>
        <v>PIC_TLAJO_037</v>
      </c>
      <c r="B38" t="str">
        <f>HYPERLINK("https://drive.google.com/drive/folders/1aoFWxuUBPTNMH11ZexxYV5HfiZfqCCY9";"PIC_TLAJO_037")</f>
        <v>PIC_TLAJO_037</v>
      </c>
      <c r="C38" t="s">
        <v>24</v>
      </c>
      <c r="D38" t="s">
        <v>25</v>
      </c>
      <c r="E38" t="s">
        <v>172</v>
      </c>
      <c r="F38" t="s">
        <v>173</v>
      </c>
      <c r="G38" t="str">
        <f>HYPERLINK("https://www.google.com/maps/search/?api=1&amp;query=Portal%20de%20San%20Juan%20232%2C%20Lomas%20del%20Sur%2C%2045653%20Tlajomulco%20de%20Zuniga%2C%20Jal.";"Portal de San Juan 232, Lomas del Sur, 45653 Tlajomulco de Zuniga, Jal.")</f>
        <v>Portal de San Juan 232, Lomas del Sur, 45653 Tlajomulco de Zuniga, Jal.</v>
      </c>
      <c r="H38" t="s">
        <v>28</v>
      </c>
      <c r="I38" t="s">
        <v>65</v>
      </c>
      <c r="J38" t="s">
        <v>30</v>
      </c>
      <c r="K38" t="s">
        <v>31</v>
      </c>
      <c r="L38" t="s">
        <v>32</v>
      </c>
      <c r="M38" t="s">
        <v>33</v>
      </c>
      <c r="N38" s="1">
        <v>46032</v>
      </c>
      <c r="O38" s="1">
        <v>46093</v>
      </c>
      <c r="P38" s="1">
        <v>46060</v>
      </c>
      <c r="Q38" s="2">
        <v>23783.63</v>
      </c>
      <c r="R38" t="b">
        <v>1</v>
      </c>
      <c r="S38" s="2">
        <v>80000</v>
      </c>
      <c r="T38" t="s">
        <v>34</v>
      </c>
      <c r="U38" t="s">
        <v>46</v>
      </c>
      <c r="V38" t="s">
        <v>174</v>
      </c>
      <c r="W38" t="s">
        <v>175</v>
      </c>
      <c r="X38">
        <f>Q38*1.16</f>
      </c>
    </row>
    <row r="39">
      <c r="A39" t="str">
        <f>B39</f>
        <v>PRV_INFVT_038</v>
      </c>
      <c r="B39" t="str">
        <f>HYPERLINK("https://drive.google.com/drive/folders/146rps2f8B4GNyoukGsKpCFESY3CsiFVX";"PRV_INFVT_038")</f>
        <v>PRV_INFVT_038</v>
      </c>
      <c r="C39" t="s">
        <v>83</v>
      </c>
      <c r="D39" t="s">
        <v>25</v>
      </c>
      <c r="E39" t="s">
        <v>176</v>
      </c>
      <c r="F39" t="s">
        <v>177</v>
      </c>
      <c r="G39" t="str">
        <f>HYPERLINK("https://www.google.com/maps/search/?api=1&amp;query=Valle%20de%20Toluca%20269%2C%20Los%20Amiales%2C%2045654%20Tlajomulco%20de%20Zuniga%2C%20Jal.";"Valle de Toluca 269, Los Amiales, 45654 Tlajomulco de Zuniga, Jal.")</f>
        <v>Valle de Toluca 269, Los Amiales, 45654 Tlajomulco de Zuniga, Jal.</v>
      </c>
      <c r="H39" t="s">
        <v>42</v>
      </c>
      <c r="I39" t="s">
        <v>70</v>
      </c>
      <c r="J39" t="s">
        <v>44</v>
      </c>
      <c r="K39" t="s">
        <v>31</v>
      </c>
      <c r="L39" t="s">
        <v>32</v>
      </c>
      <c r="M39" t="s">
        <v>45</v>
      </c>
      <c r="N39" s="1">
        <v>46064</v>
      </c>
      <c r="O39" s="1">
        <v>46126</v>
      </c>
      <c r="P39" s="1">
        <v>46093</v>
      </c>
      <c r="Q39" s="2">
        <v>13742.24</v>
      </c>
      <c r="R39" t="b">
        <v>0</v>
      </c>
      <c r="S39" s="2">
        <v>40000</v>
      </c>
      <c r="T39">
        <v>7479.85</v>
      </c>
      <c r="U39" t="s">
        <v>53</v>
      </c>
      <c r="V39" t="s">
        <v>178</v>
      </c>
      <c r="W39" t="s">
        <v>179</v>
      </c>
      <c r="X39">
        <f>Q39*1.16</f>
      </c>
    </row>
    <row r="40">
      <c r="A40" t="str">
        <f>B40</f>
        <v>PIC_TLAJO_039</v>
      </c>
      <c r="B40" t="str">
        <f>HYPERLINK("https://drive.google.com/drive/folders/1gwuH2GhKgdjA5epVvZ9aTcXqiJiBVoeA";"PIC_TLAJO_039")</f>
        <v>PIC_TLAJO_039</v>
      </c>
      <c r="C40" t="s">
        <v>24</v>
      </c>
      <c r="D40" t="s">
        <v>25</v>
      </c>
      <c r="E40" t="s">
        <v>180</v>
      </c>
      <c r="F40" t="s">
        <v>181</v>
      </c>
      <c r="G40" t="str">
        <f>HYPERLINK("https://www.google.com/maps/search/?api=1&amp;query=Cerro%20Gordo%20306%2C%20Villas%20de%20la%20Hacienda%2C%2045645%20Tlajomulco%20de%20Zuniga%2C%20Jal.";"Cerro Gordo 306, Villas de la Hacienda, 45645 Tlajomulco de Zuniga, Jal.")</f>
        <v>Cerro Gordo 306, Villas de la Hacienda, 45645 Tlajomulco de Zuniga, Jal.</v>
      </c>
      <c r="H40" t="s">
        <v>49</v>
      </c>
      <c r="I40" t="s">
        <v>76</v>
      </c>
      <c r="J40" t="s">
        <v>51</v>
      </c>
      <c r="K40" t="s">
        <v>31</v>
      </c>
      <c r="L40" t="s">
        <v>32</v>
      </c>
      <c r="M40" t="s">
        <v>52</v>
      </c>
      <c r="N40" s="1">
        <v>46093</v>
      </c>
      <c r="P40" s="1">
        <v>46123</v>
      </c>
      <c r="Q40" s="2">
        <v>34364.61</v>
      </c>
      <c r="R40" t="b">
        <v>0</v>
      </c>
      <c r="S40" s="2">
        <v>40000</v>
      </c>
      <c r="T40">
        <v>8638.37</v>
      </c>
      <c r="U40" t="s">
        <v>62</v>
      </c>
      <c r="W40" t="s">
        <v>182</v>
      </c>
      <c r="X40">
        <f>Q40*1.16</f>
      </c>
    </row>
    <row r="41">
      <c r="A41" t="str">
        <f>B41</f>
        <v>PIC_TLAJO_040</v>
      </c>
      <c r="B41" t="str">
        <f>HYPERLINK("https://drive.google.com/drive/folders/185ZEx8iDsHfxaojBxSWzEr3yGjn4NCH2";"PIC_TLAJO_040")</f>
        <v>PIC_TLAJO_040</v>
      </c>
      <c r="C41" t="s">
        <v>24</v>
      </c>
      <c r="D41" t="s">
        <v>25</v>
      </c>
      <c r="E41" t="s">
        <v>183</v>
      </c>
      <c r="F41" t="s">
        <v>184</v>
      </c>
      <c r="G41" t="str">
        <f>HYPERLINK("https://www.google.com/maps/search/?api=1&amp;query=Prado%20Sur%20343%2C%20El%20Palomar%2C%2045640%20Tlajomulco%20de%20Zuniga%2C%20Jal.";"Prado Sur 343, El Palomar, 45640 Tlajomulco de Zuniga, Jal.")</f>
        <v>Prado Sur 343, El Palomar, 45640 Tlajomulco de Zuniga, Jal.</v>
      </c>
      <c r="H41" t="s">
        <v>58</v>
      </c>
      <c r="I41" t="s">
        <v>81</v>
      </c>
      <c r="J41" t="s">
        <v>60</v>
      </c>
      <c r="K41" t="s">
        <v>31</v>
      </c>
      <c r="L41" t="s">
        <v>32</v>
      </c>
      <c r="M41" t="s">
        <v>61</v>
      </c>
      <c r="N41" s="1">
        <v>46125</v>
      </c>
      <c r="O41" s="1">
        <v>46189</v>
      </c>
      <c r="P41" s="1">
        <v>46156</v>
      </c>
      <c r="Q41" s="2">
        <v>24212.52</v>
      </c>
      <c r="R41" t="b">
        <v>0</v>
      </c>
      <c r="S41" s="2">
        <v>40000</v>
      </c>
      <c r="T41">
        <v>6258.16</v>
      </c>
      <c r="U41" t="s">
        <v>67</v>
      </c>
      <c r="V41" t="s">
        <v>185</v>
      </c>
      <c r="X41">
        <f>Q41*1.16</f>
      </c>
    </row>
    <row r="42">
      <c r="A42" t="str">
        <f>B42</f>
        <v>PIC_TLAJO_041</v>
      </c>
      <c r="B42" t="str">
        <f>HYPERLINK("https://drive.google.com/drive/folders/1Jf3jUsuo3M472tJ94DcuKtE1h6UAppJY?usp=drive_link";"PIC_TLAJO_041")</f>
        <v>PIC_TLAJO_041</v>
      </c>
      <c r="C42" t="s">
        <v>24</v>
      </c>
      <c r="D42" t="s">
        <v>25</v>
      </c>
      <c r="E42" t="s">
        <v>186</v>
      </c>
      <c r="F42" t="s">
        <v>187</v>
      </c>
      <c r="G42" t="str">
        <f>HYPERLINK("https://www.google.com/maps/search/?api=1&amp;query=Av.%20Temuco%20380%2C%20Santa%20Fe%2C%2045653%20Tlajomulco%20de%20Zuniga%2C%20Jal.";"Av. Temuco 380, Santa Fe, 45653 Tlajomulco de Zuniga, Jal.")</f>
        <v>Av. Temuco 380, Santa Fe, 45653 Tlajomulco de Zuniga, Jal.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66</v>
      </c>
      <c r="N42" s="1">
        <v>46156</v>
      </c>
      <c r="O42" s="1">
        <v>46181</v>
      </c>
      <c r="P42" s="1">
        <v>46168</v>
      </c>
      <c r="Q42" s="2">
        <v>16936.04</v>
      </c>
      <c r="R42" t="b">
        <v>0</v>
      </c>
      <c r="S42" s="2">
        <v>40000</v>
      </c>
      <c r="T42" t="s">
        <v>34</v>
      </c>
      <c r="U42" t="s">
        <v>72</v>
      </c>
      <c r="V42" t="s">
        <v>188</v>
      </c>
      <c r="W42" t="s">
        <v>189</v>
      </c>
      <c r="X42">
        <f>Q42*1.16</f>
      </c>
    </row>
    <row r="43">
      <c r="A43" t="str">
        <f>B43</f>
        <v>BNC_HSBC_042</v>
      </c>
      <c r="B43" t="str">
        <f>HYPERLINK("https://drive.google.com/drive/folders/1dMm1pgCZJEEHfehz64Fd6h0PC8XsATtg";"BNC_HSBC_042")</f>
        <v>BNC_HSBC_042</v>
      </c>
      <c r="C43" t="s">
        <v>38</v>
      </c>
      <c r="D43" t="s">
        <v>25</v>
      </c>
      <c r="E43" t="s">
        <v>190</v>
      </c>
      <c r="F43" t="s">
        <v>191</v>
      </c>
      <c r="G43" t="str">
        <f>HYPERLINK("https://www.google.com/maps/search/?api=1&amp;query=Cerro%20de%20la%20Cruz%20417%2C%20Hacienda%20Santa%20Fe%2C%2045654%20Tlajomulco%20de%20Zuniga%2C%20Jal.";"Cerro de la Cruz 417, Hacienda Santa Fe, 45654 Tlajomulco de Zuniga, Jal.")</f>
        <v>Cerro de la Cruz 417, Hacienda Santa Fe, 45654 Tlajomulco de Zuniga, Jal.</v>
      </c>
      <c r="H43" t="s">
        <v>42</v>
      </c>
      <c r="I43" t="s">
        <v>43</v>
      </c>
      <c r="J43" t="s">
        <v>44</v>
      </c>
      <c r="K43" t="s">
        <v>31</v>
      </c>
      <c r="L43" t="s">
        <v>32</v>
      </c>
      <c r="M43" t="s">
        <v>71</v>
      </c>
      <c r="N43" s="1">
        <v>46188</v>
      </c>
      <c r="O43" s="1">
        <v>46214</v>
      </c>
      <c r="P43" s="1">
        <v>46201</v>
      </c>
      <c r="Q43" s="2">
        <v>17322.24</v>
      </c>
      <c r="R43" t="b">
        <v>0</v>
      </c>
      <c r="S43" s="2">
        <v>40000</v>
      </c>
      <c r="T43">
        <v>2971.21</v>
      </c>
      <c r="U43" t="s">
        <v>78</v>
      </c>
      <c r="W43" t="s">
        <v>192</v>
      </c>
      <c r="X43">
        <f>Q43*1.16</f>
      </c>
    </row>
    <row r="44">
      <c r="A44" t="str">
        <f>B44</f>
        <v>PIC_TLAJO_043</v>
      </c>
      <c r="B44" t="str">
        <f>HYPERLINK("https://drive.google.com/drive/folders/1z1evRQAQMEyeZeGrx9DZb3UAMMtuGhBo";"PIC_TLAJO_043")</f>
        <v>PIC_TLAJO_043</v>
      </c>
      <c r="C44" t="s">
        <v>24</v>
      </c>
      <c r="D44" t="s">
        <v>55</v>
      </c>
      <c r="E44" t="s">
        <v>193</v>
      </c>
      <c r="F44" t="s">
        <v>194</v>
      </c>
      <c r="G44" t="str">
        <f>HYPERLINK("https://www.google.com/maps/search/?api=1&amp;query=Cerro%20la%20Atalaya%20454%2C%20Chulavista%2C%2045645%20Tlajomulco%20de%20Zuniga%2C%20Jal.";"Cerro la Atalaya 454, Chulavista, 45645 Tlajomulco de Zuniga, Jal.")</f>
        <v>Cerro la Atalaya 454, Chulavista, 45645 Tlajomulco de Zuniga, Jal.</v>
      </c>
      <c r="H44" t="s">
        <v>49</v>
      </c>
      <c r="I44" t="s">
        <v>50</v>
      </c>
      <c r="J44" t="s">
        <v>51</v>
      </c>
      <c r="K44" t="s">
        <v>31</v>
      </c>
      <c r="L44" t="s">
        <v>32</v>
      </c>
      <c r="M44" t="s">
        <v>77</v>
      </c>
      <c r="N44" s="1">
        <v>46038</v>
      </c>
      <c r="Q44" s="2">
        <v>25575.53</v>
      </c>
      <c r="R44" t="b">
        <v>0</v>
      </c>
      <c r="S44" s="2">
        <v>40000</v>
      </c>
      <c r="T44">
        <v>6500.4</v>
      </c>
      <c r="U44" t="s">
        <v>35</v>
      </c>
      <c r="X44">
        <f>Q44*1.16</f>
      </c>
    </row>
    <row r="45">
      <c r="A45" t="str">
        <f>B45</f>
        <v>PRV_INFVT_044</v>
      </c>
      <c r="B45" t="str">
        <f>HYPERLINK("https://drive.google.com/drive/folders/1JJA1wYyyU7UUBcixF6LdFZQNb3UhkctX";"PRV_INFVT_044")</f>
        <v>PRV_INFVT_044</v>
      </c>
      <c r="C45" t="s">
        <v>83</v>
      </c>
      <c r="D45" t="s">
        <v>55</v>
      </c>
      <c r="E45" t="s">
        <v>195</v>
      </c>
      <c r="F45" t="s">
        <v>196</v>
      </c>
      <c r="G45" t="str">
        <f>HYPERLINK("https://www.google.com/maps/search/?api=1&amp;query=Monte%20Cabra%20491%2C%20LOMAS%2C%2045640%20Tlajomulco%20de%20Zuniga%2C%20Jal.";"Monte Cabra 491, LOMAS, 45640 Tlajomulco de Zuniga, Jal.")</f>
        <v>Monte Cabra 491, LOMAS, 45640 Tlajomulco de Zuniga, Jal.</v>
      </c>
      <c r="H45" t="s">
        <v>58</v>
      </c>
      <c r="I45" t="s">
        <v>59</v>
      </c>
      <c r="J45" t="s">
        <v>60</v>
      </c>
      <c r="K45" t="s">
        <v>31</v>
      </c>
      <c r="L45" t="s">
        <v>32</v>
      </c>
      <c r="M45" t="s">
        <v>82</v>
      </c>
      <c r="N45" s="1">
        <v>46070</v>
      </c>
      <c r="R45" t="b">
        <v>0</v>
      </c>
      <c r="S45" s="2">
        <v>40000</v>
      </c>
      <c r="T45">
        <v>4600.85</v>
      </c>
      <c r="U45" t="s">
        <v>46</v>
      </c>
      <c r="X45">
        <f>Q45*1.16</f>
      </c>
    </row>
    <row r="46">
      <c r="A46" t="str">
        <f>B46</f>
        <v>PRV_INFVT_045</v>
      </c>
      <c r="B46" t="str">
        <f>HYPERLINK("https://drive.google.com/drive/folders/19DzS88VNdBAfzqGUKwgYnH9K092NMzHk";"PRV_INFVT_045")</f>
        <v>PRV_INFVT_045</v>
      </c>
      <c r="C46" t="s">
        <v>83</v>
      </c>
      <c r="D46" t="s">
        <v>55</v>
      </c>
      <c r="E46" t="s">
        <v>197</v>
      </c>
      <c r="F46" t="s">
        <v>198</v>
      </c>
      <c r="G46" t="str">
        <f>HYPERLINK("https://www.google.com/maps/search/?api=1&amp;query=Cerro%20de%20las%207%20Gotas%20128%2C%20Lomas%20del%20Sur%2C%2045653%20Tlajomulco%20de%20Zuniga%2C%20Jal.";"Cerro de las 7 Gotas 128, Lomas del Sur, 45653 Tlajomulco de Zuniga, Jal.")</f>
        <v>Cerro de las 7 Gotas 128, Lomas del Sur, 45653 Tlajomulco de Zuniga, Jal.</v>
      </c>
      <c r="H46" t="s">
        <v>28</v>
      </c>
      <c r="I46" t="s">
        <v>65</v>
      </c>
      <c r="J46" t="s">
        <v>30</v>
      </c>
      <c r="K46" t="s">
        <v>31</v>
      </c>
      <c r="L46" t="s">
        <v>32</v>
      </c>
      <c r="M46" t="s">
        <v>86</v>
      </c>
      <c r="N46" s="1">
        <v>46099</v>
      </c>
      <c r="R46" t="b">
        <v>0</v>
      </c>
      <c r="S46" s="2">
        <v>40000</v>
      </c>
      <c r="T46" t="s">
        <v>34</v>
      </c>
      <c r="U46" t="s">
        <v>53</v>
      </c>
      <c r="X46">
        <f>Q46*1.16</f>
      </c>
    </row>
    <row r="47">
      <c r="A47" t="str">
        <f>B47</f>
        <v>PRV_INFVT_046</v>
      </c>
      <c r="B47" t="str">
        <f>HYPERLINK("https://drive.google.com/drive/folders/1VHbS8t8xBvzZ9MVrYzgUKEfHAiHCEMnz?usp=drive_link";"PRV_INFVT_046")</f>
        <v>PRV_INFVT_046</v>
      </c>
      <c r="C47" t="s">
        <v>83</v>
      </c>
      <c r="D47" t="s">
        <v>25</v>
      </c>
      <c r="E47" t="s">
        <v>199</v>
      </c>
      <c r="F47" t="s">
        <v>200</v>
      </c>
      <c r="G47" t="str">
        <f>HYPERLINK("https://www.google.com/maps/search/?api=1&amp;query=Esteli%20165%2C%20Los%20Amiales%2C%2045654%20Tlajomulco%20de%20Zuniga%2C%20Jal.";"Esteli 165, Los Amiales, 45654 Tlajomulco de Zuniga, Jal.")</f>
        <v>Esteli 165, Los Amiales, 45654 Tlajomulco de Zuniga, Jal.</v>
      </c>
      <c r="H47" t="s">
        <v>42</v>
      </c>
      <c r="I47" t="s">
        <v>70</v>
      </c>
      <c r="J47" t="s">
        <v>44</v>
      </c>
      <c r="K47" t="s">
        <v>31</v>
      </c>
      <c r="L47" t="s">
        <v>32</v>
      </c>
      <c r="M47" t="s">
        <v>89</v>
      </c>
      <c r="N47" s="1">
        <v>46131</v>
      </c>
      <c r="O47" s="1">
        <v>46161</v>
      </c>
      <c r="P47" s="1">
        <v>46148</v>
      </c>
      <c r="Q47" s="2">
        <v>53615.25</v>
      </c>
      <c r="R47" t="b">
        <v>1</v>
      </c>
      <c r="S47" s="2">
        <v>80000</v>
      </c>
      <c r="T47">
        <v>1660.43</v>
      </c>
      <c r="U47" t="s">
        <v>62</v>
      </c>
      <c r="V47" t="s">
        <v>201</v>
      </c>
      <c r="W47" t="s">
        <v>202</v>
      </c>
      <c r="X47">
        <f>Q47*1.16</f>
      </c>
    </row>
    <row r="48">
      <c r="A48" t="str">
        <f>B48</f>
        <v>PIC_TLAJO_047</v>
      </c>
      <c r="B48" t="str">
        <f>HYPERLINK("https://drive.google.com/drive/folders/17PStEbc48RCHAbWrHnJoZ3zCgxa07sF1";"PIC_TLAJO_047")</f>
        <v>PIC_TLAJO_047</v>
      </c>
      <c r="C48" t="s">
        <v>24</v>
      </c>
      <c r="D48" t="s">
        <v>25</v>
      </c>
      <c r="E48" t="s">
        <v>203</v>
      </c>
      <c r="F48" t="s">
        <v>204</v>
      </c>
      <c r="G48" t="str">
        <f>HYPERLINK("https://www.google.com/maps/search/?api=1&amp;query=Montevideo%20202%2C%20Villas%20de%20la%20Hacienda%2C%2045645%20Tlajomulco%20de%20Zuniga%2C%20Jal.";"Montevideo 202, Villas de la Hacienda, 45645 Tlajomulco de Zuniga, Jal.")</f>
        <v>Montevideo 202, Villas de la Hacienda, 45645 Tlajomulco de Zuniga, Jal.</v>
      </c>
      <c r="H48" t="s">
        <v>49</v>
      </c>
      <c r="I48" t="s">
        <v>76</v>
      </c>
      <c r="J48" t="s">
        <v>51</v>
      </c>
      <c r="K48" t="s">
        <v>31</v>
      </c>
      <c r="L48" t="s">
        <v>32</v>
      </c>
      <c r="M48" t="s">
        <v>94</v>
      </c>
      <c r="N48" s="1">
        <v>46162</v>
      </c>
      <c r="O48" s="1">
        <v>46193</v>
      </c>
      <c r="P48" s="1">
        <v>46180</v>
      </c>
      <c r="Q48" s="2">
        <v>13031.59</v>
      </c>
      <c r="R48" t="b">
        <v>0</v>
      </c>
      <c r="S48" s="2">
        <v>40000</v>
      </c>
      <c r="T48">
        <v>1648.28</v>
      </c>
      <c r="U48" t="s">
        <v>67</v>
      </c>
      <c r="V48" t="s">
        <v>205</v>
      </c>
      <c r="W48" t="s">
        <v>206</v>
      </c>
      <c r="X48">
        <f>Q48*1.16</f>
      </c>
    </row>
    <row r="49">
      <c r="A49" t="str">
        <f>B49</f>
        <v>PIC_TLAJO_048</v>
      </c>
      <c r="B49" t="str">
        <f>HYPERLINK("https://drive.google.com/drive/folders/1f8JS6c6dyn3ajMPjbxFwAk9ZYuDM2wCZ";"PIC_TLAJO_048")</f>
        <v>PIC_TLAJO_048</v>
      </c>
      <c r="C49" t="s">
        <v>24</v>
      </c>
      <c r="D49" t="s">
        <v>55</v>
      </c>
      <c r="E49" t="s">
        <v>207</v>
      </c>
      <c r="F49" t="s">
        <v>208</v>
      </c>
      <c r="G49" t="str">
        <f>HYPERLINK("https://www.google.com/maps/search/?api=1&amp;query=Av.%20Bogota%20239%2C%20El%20Palomar%2C%2045640%20Tlajomulco%20de%20Zuniga%2C%20Jal.";"Av. Bogota 239, El Palomar, 45640 Tlajomulco de Zuniga, Jal.")</f>
        <v>Av. Bogota 239, El Palomar, 45640 Tlajomulco de Zuniga, Jal.</v>
      </c>
      <c r="H49" t="s">
        <v>58</v>
      </c>
      <c r="I49" t="s">
        <v>81</v>
      </c>
      <c r="J49" t="s">
        <v>60</v>
      </c>
      <c r="K49" t="s">
        <v>31</v>
      </c>
      <c r="L49" t="s">
        <v>32</v>
      </c>
      <c r="M49" t="s">
        <v>99</v>
      </c>
      <c r="N49" s="1">
        <v>46194</v>
      </c>
      <c r="R49" t="b">
        <v>0</v>
      </c>
      <c r="S49" s="2">
        <v>40000</v>
      </c>
      <c r="T49">
        <v>8035.84</v>
      </c>
      <c r="U49" t="s">
        <v>72</v>
      </c>
      <c r="X49">
        <f>Q49*1.16</f>
      </c>
    </row>
    <row r="50">
      <c r="A50" t="str">
        <f>B50</f>
        <v>BNC_HSBC_049</v>
      </c>
      <c r="B50" t="str">
        <f>HYPERLINK("https://drive.google.com/drive/folders/1v0hkD6pr2RwxYQpkotdT13Wx8s29EnQa";"BNC_HSBC_049")</f>
        <v>BNC_HSBC_049</v>
      </c>
      <c r="C50" t="s">
        <v>38</v>
      </c>
      <c r="D50" t="s">
        <v>39</v>
      </c>
      <c r="E50" t="s">
        <v>209</v>
      </c>
      <c r="F50" t="s">
        <v>210</v>
      </c>
      <c r="G50" t="str">
        <f>HYPERLINK("https://www.google.com/maps/search/?api=1&amp;query=Blvd.%20Republica%20de%20Honduras%20276%2C%20Santa%20Fe%2C%2045653%20Tlajomulco%20de%20Zuniga%2C%20Jal.";"Blvd. Republica de Honduras 276, Santa Fe, 45653 Tlajomulco de Zuniga, Jal.")</f>
        <v>Blvd. Republica de Honduras 276, Santa Fe, 45653 Tlajomulco de Zuniga, Jal.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 s="1">
        <v>46044</v>
      </c>
      <c r="Q50" s="2">
        <v>27962.74</v>
      </c>
      <c r="R50" t="b">
        <v>0</v>
      </c>
      <c r="S50" s="2">
        <v>40000</v>
      </c>
      <c r="T50" t="s">
        <v>34</v>
      </c>
      <c r="U50" t="s">
        <v>78</v>
      </c>
      <c r="X50">
        <f>Q50*1.16</f>
      </c>
    </row>
    <row r="51">
      <c r="A51" t="str">
        <f>B51</f>
        <v>BNC_HSBC_050</v>
      </c>
      <c r="B51" t="str">
        <f>HYPERLINK("https://drive.google.com/drive/folders/1DgGNwNRpTFVGHEusSYjrNagAVC2F49pW";"BNC_HSBC_050")</f>
        <v>BNC_HSBC_050</v>
      </c>
      <c r="C51" t="s">
        <v>38</v>
      </c>
      <c r="D51" t="s">
        <v>39</v>
      </c>
      <c r="E51" t="s">
        <v>211</v>
      </c>
      <c r="F51" t="s">
        <v>212</v>
      </c>
      <c r="G51" t="str">
        <f>HYPERLINK("https://www.google.com/maps/search/?api=1&amp;query=Paseo%20de%20los%20Agaves%20313%2C%20Hacienda%20Santa%20Fe%2C%2045654%20Tlajomulco%20de%20Zuniga%2C%20Jal.";"Paseo de los Agaves 313, Hacienda Santa Fe, 45654 Tlajomulco de Zuniga, Jal.")</f>
        <v>Paseo de los Agaves 313, Hacienda Santa Fe, 45654 Tlajomulco de Zuniga, Jal.</v>
      </c>
      <c r="H51" t="s">
        <v>42</v>
      </c>
      <c r="I51" t="s">
        <v>43</v>
      </c>
      <c r="J51" t="s">
        <v>44</v>
      </c>
      <c r="K51" t="s">
        <v>31</v>
      </c>
      <c r="L51" t="s">
        <v>32</v>
      </c>
      <c r="M51" t="s">
        <v>45</v>
      </c>
      <c r="N51" s="1">
        <v>46076</v>
      </c>
      <c r="R51" t="b">
        <v>0</v>
      </c>
      <c r="S51" s="2">
        <v>40000</v>
      </c>
      <c r="T51">
        <v>2330.92</v>
      </c>
      <c r="U51" t="s">
        <v>35</v>
      </c>
      <c r="X51">
        <f>Q51*1.16</f>
      </c>
    </row>
    <row r="52">
      <c r="A52" t="str">
        <f>B52</f>
        <v>PRV_INFVT_051</v>
      </c>
      <c r="B52" t="str">
        <f>HYPERLINK("https://drive.google.com/drive/folders/1QrYhNFm5uoNCujJcnrrQJJ7jHx649adU?usp=drive_link";"PRV_INFVT_051")</f>
        <v>PRV_INFVT_051</v>
      </c>
      <c r="C52" t="s">
        <v>83</v>
      </c>
      <c r="D52" t="s">
        <v>55</v>
      </c>
      <c r="E52" t="s">
        <v>213</v>
      </c>
      <c r="F52" t="s">
        <v>214</v>
      </c>
      <c r="G52" t="str">
        <f>HYPERLINK("https://www.google.com/maps/search/?api=1&amp;query=Volcan%20Paricutin%20350%2C%20Chulavista%2C%2045645%20Tlajomulco%20de%20Zuniga%2C%20Jal.";"Volcan Paricutin 350, Chulavista, 45645 Tlajomulco de Zuniga, Jal.")</f>
        <v>Volcan Paricutin 350, Chulavista, 45645 Tlajomulco de Zuniga, Jal.</v>
      </c>
      <c r="H52" t="s">
        <v>49</v>
      </c>
      <c r="I52" t="s">
        <v>50</v>
      </c>
      <c r="J52" t="s">
        <v>51</v>
      </c>
      <c r="K52" t="s">
        <v>31</v>
      </c>
      <c r="L52" t="s">
        <v>32</v>
      </c>
      <c r="M52" t="s">
        <v>52</v>
      </c>
      <c r="N52" s="1">
        <v>46105</v>
      </c>
      <c r="R52" t="b">
        <v>0</v>
      </c>
      <c r="S52" s="2">
        <v>40000</v>
      </c>
      <c r="T52">
        <v>5699.45</v>
      </c>
      <c r="U52" t="s">
        <v>46</v>
      </c>
      <c r="X52">
        <f>Q52*1.16</f>
      </c>
    </row>
    <row r="53">
      <c r="A53" t="str">
        <f>B53</f>
        <v>PIC_TLAJO_052</v>
      </c>
      <c r="B53" t="str">
        <f>HYPERLINK("https://drive.google.com/drive/folders/1SYHfhDEYknNRtJrr5mKnwUTFkvkMVR3q";"PIC_TLAJO_052")</f>
        <v>PIC_TLAJO_052</v>
      </c>
      <c r="C53" t="s">
        <v>24</v>
      </c>
      <c r="D53" t="s">
        <v>55</v>
      </c>
      <c r="E53" t="s">
        <v>215</v>
      </c>
      <c r="F53" t="s">
        <v>216</v>
      </c>
      <c r="G53" t="str">
        <f>HYPERLINK("https://www.google.com/maps/search/?api=1&amp;query=Loma%20Dorada%20387%2C%20LOMAS%2C%2045640%20Tlajomulco%20de%20Zuniga%2C%20Jal.";"Loma Dorada 387, LOMAS, 45640 Tlajomulco de Zuniga, Jal.")</f>
        <v>Loma Dorada 387, LOMAS, 45640 Tlajomulco de Zuniga, Jal.</v>
      </c>
      <c r="H53" t="s">
        <v>58</v>
      </c>
      <c r="I53" t="s">
        <v>59</v>
      </c>
      <c r="J53" t="s">
        <v>60</v>
      </c>
      <c r="K53" t="s">
        <v>31</v>
      </c>
      <c r="L53" t="s">
        <v>32</v>
      </c>
      <c r="M53" t="s">
        <v>61</v>
      </c>
      <c r="N53" s="1">
        <v>46137</v>
      </c>
      <c r="Q53" s="2">
        <v>31502.61</v>
      </c>
      <c r="R53" t="b">
        <v>0</v>
      </c>
      <c r="S53" s="2">
        <v>40000</v>
      </c>
      <c r="T53">
        <v>5780.47</v>
      </c>
      <c r="U53" t="s">
        <v>53</v>
      </c>
      <c r="X53">
        <f>Q53*1.16</f>
      </c>
    </row>
    <row r="54">
      <c r="A54" t="str">
        <f>B54</f>
        <v>PIC_TLAJO_053</v>
      </c>
      <c r="B54" t="str">
        <f>HYPERLINK("https://drive.google.com/drive/folders/1sLY7T0zs7zvf3numV91YLjCmSE95QHER";"PIC_TLAJO_053")</f>
        <v>PIC_TLAJO_053</v>
      </c>
      <c r="C54" t="s">
        <v>24</v>
      </c>
      <c r="D54" t="s">
        <v>39</v>
      </c>
      <c r="E54" t="s">
        <v>217</v>
      </c>
      <c r="F54" t="s">
        <v>218</v>
      </c>
      <c r="G54" t="str">
        <f>HYPERLINK("https://www.google.com/maps/search/?api=1&amp;query=Real%20de%20Minas%20424%2C%20Lomas%20del%20Sur%2C%2045653%20Tlajomulco%20de%20Zuniga%2C%20Jal.";"Real de Minas 424, Lomas del Sur, 45653 Tlajomulco de Zuniga, Jal.")</f>
        <v>Real de Minas 424, Lomas del Sur, 45653 Tlajomulco de Zuniga, Jal.</v>
      </c>
      <c r="H54" t="s">
        <v>28</v>
      </c>
      <c r="I54" t="s">
        <v>65</v>
      </c>
      <c r="J54" t="s">
        <v>30</v>
      </c>
      <c r="K54" t="s">
        <v>31</v>
      </c>
      <c r="L54" t="s">
        <v>32</v>
      </c>
      <c r="M54" t="s">
        <v>66</v>
      </c>
      <c r="N54" s="1">
        <v>46168</v>
      </c>
      <c r="R54" t="b">
        <v>0</v>
      </c>
      <c r="S54" s="2">
        <v>40000</v>
      </c>
      <c r="T54" t="s">
        <v>34</v>
      </c>
      <c r="U54" t="s">
        <v>62</v>
      </c>
      <c r="X54">
        <f>Q54*1.16</f>
      </c>
    </row>
    <row r="55">
      <c r="A55" t="str">
        <f>B55</f>
        <v>PIC_TLAJO_054</v>
      </c>
      <c r="B55" t="str">
        <f>HYPERLINK("https://drive.google.com/drive/folders/1hXcvXFymK8kZPiXjzUtiyF1gMg9NiTRL";"PIC_TLAJO_054")</f>
        <v>PIC_TLAJO_054</v>
      </c>
      <c r="C55" t="s">
        <v>24</v>
      </c>
      <c r="D55" t="s">
        <v>25</v>
      </c>
      <c r="E55" t="s">
        <v>219</v>
      </c>
      <c r="F55" t="s">
        <v>220</v>
      </c>
      <c r="G55" t="str">
        <f>HYPERLINK("https://www.google.com/maps/search/?api=1&amp;query=Camino%20Real%20461%2C%20Los%20Amiales%2C%2045654%20Tlajomulco%20de%20Zuniga%2C%20Jal.";"Camino Real 461, Los Amiales, 45654 Tlajomulco de Zuniga, Jal.")</f>
        <v>Camino Real 461, Los Amiales, 45654 Tlajomulco de Zuniga, Jal.</v>
      </c>
      <c r="H55" t="s">
        <v>42</v>
      </c>
      <c r="I55" t="s">
        <v>70</v>
      </c>
      <c r="J55" t="s">
        <v>44</v>
      </c>
      <c r="K55" t="s">
        <v>31</v>
      </c>
      <c r="L55" t="s">
        <v>32</v>
      </c>
      <c r="M55" t="s">
        <v>71</v>
      </c>
      <c r="N55" s="1">
        <v>46200</v>
      </c>
      <c r="O55" s="1">
        <v>46238</v>
      </c>
      <c r="P55" s="1">
        <v>46225</v>
      </c>
      <c r="Q55" s="2">
        <v>14393.89</v>
      </c>
      <c r="R55" t="b">
        <v>0</v>
      </c>
      <c r="S55" s="2">
        <v>40000</v>
      </c>
      <c r="T55">
        <v>5875.0</v>
      </c>
      <c r="U55" t="s">
        <v>67</v>
      </c>
      <c r="W55" t="s">
        <v>221</v>
      </c>
      <c r="X55">
        <f>Q55*1.16</f>
      </c>
    </row>
    <row r="56">
      <c r="A56" t="str">
        <f>B56</f>
        <v>PIC_TLAJO_055</v>
      </c>
      <c r="B56" t="str">
        <f>HYPERLINK("https://drive.google.com/drive/folders/16v1mTGzm6zQsGM2u3M5p2CLpsyGhPECk";"PIC_TLAJO_055")</f>
        <v>PIC_TLAJO_055</v>
      </c>
      <c r="C56" t="s">
        <v>24</v>
      </c>
      <c r="D56" t="s">
        <v>25</v>
      </c>
      <c r="E56" t="s">
        <v>222</v>
      </c>
      <c r="F56" t="s">
        <v>223</v>
      </c>
      <c r="G56" t="str">
        <f>HYPERLINK("https://www.google.com/maps/search/?api=1&amp;query=Rinconada%20del%20Sol%20498%2C%20Villas%20de%20la%20Hacienda%2C%2045645%20Tlajomulco%20de%20Zuniga%2C%20Jal.";"Rinconada del Sol 498, Villas de la Hacienda, 45645 Tlajomulco de Zuniga, Jal.")</f>
        <v>Rinconada del Sol 498, Villas de la Hacienda, 45645 Tlajomulco de Zuniga, Jal.</v>
      </c>
      <c r="H56" t="s">
        <v>49</v>
      </c>
      <c r="I56" t="s">
        <v>76</v>
      </c>
      <c r="J56" t="s">
        <v>51</v>
      </c>
      <c r="K56" t="s">
        <v>31</v>
      </c>
      <c r="L56" t="s">
        <v>32</v>
      </c>
      <c r="M56" t="s">
        <v>77</v>
      </c>
      <c r="N56" s="1">
        <v>46023</v>
      </c>
      <c r="O56" s="1">
        <v>46062</v>
      </c>
      <c r="P56" s="1">
        <v>46049</v>
      </c>
      <c r="Q56" s="2">
        <v>37365.63</v>
      </c>
      <c r="R56" t="b">
        <v>1</v>
      </c>
      <c r="S56" s="2">
        <v>80000</v>
      </c>
      <c r="T56">
        <v>7850.63</v>
      </c>
      <c r="U56" t="s">
        <v>72</v>
      </c>
      <c r="V56" t="s">
        <v>224</v>
      </c>
      <c r="W56" t="s">
        <v>225</v>
      </c>
      <c r="X56">
        <f>Q56*1.16</f>
      </c>
    </row>
    <row r="57">
      <c r="A57" t="str">
        <f>B57</f>
        <v>PIC_TLAJO_056</v>
      </c>
      <c r="B57" t="str">
        <f>HYPERLINK("https://drive.google.com/drive/folders/1ocKTbz8zrVm6STVirC7sqBdkUGaWNHkd?usp=drive_link";"PIC_TLAJO_056")</f>
        <v>PIC_TLAJO_056</v>
      </c>
      <c r="C57" t="s">
        <v>24</v>
      </c>
      <c r="D57" t="s">
        <v>25</v>
      </c>
      <c r="E57" t="s">
        <v>226</v>
      </c>
      <c r="F57" t="s">
        <v>227</v>
      </c>
      <c r="G57" t="str">
        <f>HYPERLINK("https://www.google.com/maps/search/?api=1&amp;query=Hacienda%20Vieja%20135%2C%20El%20Palomar%2C%2045640%20Tlajomulco%20de%20Zuniga%2C%20Jal.";"Hacienda Vieja 135, El Palomar, 45640 Tlajomulco de Zuniga, Jal.")</f>
        <v>Hacienda Vieja 135, El Palomar, 45640 Tlajomulco de Zuniga, Jal.</v>
      </c>
      <c r="H57" t="s">
        <v>58</v>
      </c>
      <c r="I57" t="s">
        <v>81</v>
      </c>
      <c r="J57" t="s">
        <v>60</v>
      </c>
      <c r="K57" t="s">
        <v>31</v>
      </c>
      <c r="L57" t="s">
        <v>32</v>
      </c>
      <c r="M57" t="s">
        <v>82</v>
      </c>
      <c r="N57" s="1">
        <v>46055</v>
      </c>
      <c r="O57" s="1">
        <v>46095</v>
      </c>
      <c r="P57" s="1">
        <v>46082</v>
      </c>
      <c r="Q57" s="2">
        <v>28478.4</v>
      </c>
      <c r="R57" t="b">
        <v>0</v>
      </c>
      <c r="S57" s="2">
        <v>40000</v>
      </c>
      <c r="T57">
        <v>5020.43</v>
      </c>
      <c r="U57" t="s">
        <v>78</v>
      </c>
      <c r="V57" t="s">
        <v>228</v>
      </c>
      <c r="X57">
        <f>Q57*1.16</f>
      </c>
    </row>
    <row r="58">
      <c r="A58" t="str">
        <f>B58</f>
        <v>PIC_TLAJO_057</v>
      </c>
      <c r="B58" t="str">
        <f>HYPERLINK("https://drive.google.com/drive/folders/1asGmVSEf3y4deXZjeL50EwYYD1Nx868S";"PIC_TLAJO_057")</f>
        <v>PIC_TLAJO_057</v>
      </c>
      <c r="C58" t="s">
        <v>24</v>
      </c>
      <c r="D58" t="s">
        <v>25</v>
      </c>
      <c r="E58" t="s">
        <v>229</v>
      </c>
      <c r="F58" t="s">
        <v>230</v>
      </c>
      <c r="G58" t="str">
        <f>HYPERLINK("https://www.google.com/maps/search/?api=1&amp;query=Portal%20de%20San%20Juan%20172%2C%20Santa%20Fe%2C%2045653%20Tlajomulco%20de%20Zuniga%2C%20Jal.";"Portal de San Juan 172, Santa Fe, 45653 Tlajomulco de Zuniga, Jal.")</f>
        <v>Portal de San Juan 172, Santa Fe, 45653 Tlajomulco de Zuniga, Jal.</v>
      </c>
      <c r="H58" t="s">
        <v>28</v>
      </c>
      <c r="I58" t="s">
        <v>29</v>
      </c>
      <c r="J58" t="s">
        <v>30</v>
      </c>
      <c r="K58" t="s">
        <v>31</v>
      </c>
      <c r="L58" t="s">
        <v>32</v>
      </c>
      <c r="M58" t="s">
        <v>86</v>
      </c>
      <c r="N58" s="1">
        <v>46084</v>
      </c>
      <c r="O58" s="1">
        <v>46125</v>
      </c>
      <c r="P58" s="1">
        <v>46112</v>
      </c>
      <c r="Q58" s="2">
        <v>35888.56</v>
      </c>
      <c r="R58" t="b">
        <v>0</v>
      </c>
      <c r="S58" s="2">
        <v>40000</v>
      </c>
      <c r="T58" t="s">
        <v>34</v>
      </c>
      <c r="U58" t="s">
        <v>35</v>
      </c>
      <c r="W58" t="s">
        <v>231</v>
      </c>
      <c r="X58">
        <f>Q58*1.16</f>
      </c>
    </row>
    <row r="59">
      <c r="A59" t="str">
        <f>B59</f>
        <v>PIC_TLAJO_058</v>
      </c>
      <c r="B59" t="str">
        <f>HYPERLINK("https://drive.google.com/drive/folders/1PyoKeeYrieuPaAf0N64T9rstJfLreMUE";"PIC_TLAJO_058")</f>
        <v>PIC_TLAJO_058</v>
      </c>
      <c r="C59" t="s">
        <v>24</v>
      </c>
      <c r="D59" t="s">
        <v>25</v>
      </c>
      <c r="E59" t="s">
        <v>232</v>
      </c>
      <c r="F59" t="s">
        <v>233</v>
      </c>
      <c r="G59" t="str">
        <f>HYPERLINK("https://www.google.com/maps/search/?api=1&amp;query=Valle%20de%20Toluca%20209%2C%20Hacienda%20Santa%20Fe%2C%2045654%20Tlajomulco%20de%20Zuniga%2C%20Jal.";"Valle de Toluca 209, Hacienda Santa Fe, 45654 Tlajomulco de Zuniga, Jal.")</f>
        <v>Valle de Toluca 209, Hacienda Santa Fe, 45654 Tlajomulco de Zuniga, Jal.</v>
      </c>
      <c r="H59" t="s">
        <v>42</v>
      </c>
      <c r="I59" t="s">
        <v>43</v>
      </c>
      <c r="J59" t="s">
        <v>44</v>
      </c>
      <c r="K59" t="s">
        <v>31</v>
      </c>
      <c r="L59" t="s">
        <v>32</v>
      </c>
      <c r="M59" t="s">
        <v>89</v>
      </c>
      <c r="N59" s="1">
        <v>46116</v>
      </c>
      <c r="O59" s="1">
        <v>46158</v>
      </c>
      <c r="P59" s="1">
        <v>46145</v>
      </c>
      <c r="Q59" s="2">
        <v>23235.3</v>
      </c>
      <c r="R59" t="b">
        <v>0</v>
      </c>
      <c r="S59" s="2">
        <v>40000</v>
      </c>
      <c r="T59">
        <v>4055.69</v>
      </c>
      <c r="U59" t="s">
        <v>46</v>
      </c>
      <c r="V59" t="s">
        <v>234</v>
      </c>
      <c r="W59" t="s">
        <v>235</v>
      </c>
      <c r="X59">
        <f>Q59*1.16</f>
      </c>
    </row>
    <row r="60">
      <c r="A60" t="str">
        <f>B60</f>
        <v>BNC_HSBC_059</v>
      </c>
      <c r="B60" t="str">
        <f>HYPERLINK("https://drive.google.com/drive/folders/1jtZhnrgC2ExqttdftRhMwXnADeHJox2V";"BNC_HSBC_059")</f>
        <v>BNC_HSBC_059</v>
      </c>
      <c r="C60" t="s">
        <v>38</v>
      </c>
      <c r="D60" t="s">
        <v>25</v>
      </c>
      <c r="E60" t="s">
        <v>236</v>
      </c>
      <c r="F60" t="s">
        <v>237</v>
      </c>
      <c r="G60" t="str">
        <f>HYPERLINK("https://www.google.com/maps/search/?api=1&amp;query=Cerro%20Gordo%20246%2C%20Chulavista%2C%2045645%20Tlajomulco%20de%20Zuniga%2C%20Jal.";"Cerro Gordo 246, Chulavista, 45645 Tlajomulco de Zuniga, Jal.")</f>
        <v>Cerro Gordo 246, Chulavista, 45645 Tlajomulco de Zuniga, Jal.</v>
      </c>
      <c r="H60" t="s">
        <v>49</v>
      </c>
      <c r="I60" t="s">
        <v>50</v>
      </c>
      <c r="J60" t="s">
        <v>51</v>
      </c>
      <c r="K60" t="s">
        <v>31</v>
      </c>
      <c r="L60" t="s">
        <v>32</v>
      </c>
      <c r="M60" t="s">
        <v>94</v>
      </c>
      <c r="N60" s="1">
        <v>46147</v>
      </c>
      <c r="O60" s="1">
        <v>46190</v>
      </c>
      <c r="P60" s="1">
        <v>46177</v>
      </c>
      <c r="Q60" s="2">
        <v>16088.24</v>
      </c>
      <c r="R60" t="b">
        <v>0</v>
      </c>
      <c r="S60" s="2">
        <v>40000</v>
      </c>
      <c r="T60">
        <v>2095.92</v>
      </c>
      <c r="U60" t="s">
        <v>53</v>
      </c>
      <c r="V60" t="s">
        <v>238</v>
      </c>
      <c r="W60" t="s">
        <v>239</v>
      </c>
      <c r="X60">
        <f>Q60*1.16</f>
      </c>
    </row>
    <row r="61">
      <c r="A61" t="str">
        <f>B61</f>
        <v>PRV_INFVT_060</v>
      </c>
      <c r="B61" t="str">
        <f>HYPERLINK("https://drive.google.com/drive/folders/19STiJvf01ATrp0MKHjcKbNNfK0qMUCj5";"PRV_INFVT_060")</f>
        <v>PRV_INFVT_060</v>
      </c>
      <c r="C61" t="s">
        <v>83</v>
      </c>
      <c r="D61" t="s">
        <v>240</v>
      </c>
      <c r="E61" t="s">
        <v>241</v>
      </c>
      <c r="F61" t="s">
        <v>242</v>
      </c>
      <c r="G61" t="str">
        <f>HYPERLINK("https://www.google.com/maps/search/?api=1&amp;query=Prado%20Sur%20283%2C%20LOMAS%2C%2045640%20Tlajomulco%20de%20Zuniga%2C%20Jal.";"Prado Sur 283, LOMAS, 45640 Tlajomulco de Zuniga, Jal.")</f>
        <v>Prado Sur 283, LOMAS, 45640 Tlajomulco de Zuniga, Jal.</v>
      </c>
      <c r="H61" t="s">
        <v>58</v>
      </c>
      <c r="I61" t="s">
        <v>59</v>
      </c>
      <c r="J61" t="s">
        <v>60</v>
      </c>
      <c r="K61" t="s">
        <v>31</v>
      </c>
      <c r="L61" t="s">
        <v>32</v>
      </c>
      <c r="M61" t="s">
        <v>99</v>
      </c>
      <c r="N61" s="1">
        <v>46179</v>
      </c>
      <c r="R61" t="b">
        <v>0</v>
      </c>
      <c r="S61" s="2">
        <v>40000</v>
      </c>
      <c r="T61">
        <v>2503.87</v>
      </c>
      <c r="U61" t="s">
        <v>62</v>
      </c>
      <c r="X61">
        <f>Q61*1.16</f>
      </c>
    </row>
    <row r="62">
      <c r="A62" t="str">
        <f>B62</f>
        <v>PIC_TLAJO_061</v>
      </c>
      <c r="B62" t="str">
        <f>HYPERLINK("https://drive.google.com/drive/folders/17Xb0d0KZLZ9xYAcLbHXyokZhnhZGa6Qg?usp=drive_link";"PIC_TLAJO_061")</f>
        <v>PIC_TLAJO_061</v>
      </c>
      <c r="C62" t="s">
        <v>24</v>
      </c>
      <c r="D62" t="s">
        <v>55</v>
      </c>
      <c r="E62" t="s">
        <v>243</v>
      </c>
      <c r="F62" t="s">
        <v>244</v>
      </c>
      <c r="G62" t="str">
        <f>HYPERLINK("https://www.google.com/maps/search/?api=1&amp;query=Av.%20Temuco%20320%2C%20Lomas%20del%20Sur%2C%2045653%20Tlajomulco%20de%20Zuniga%2C%20Jal.";"Av. Temuco 320, Lomas del Sur, 45653 Tlajomulco de Zuniga, Jal.")</f>
        <v>Av. Temuco 320, Lomas del Sur, 45653 Tlajomulco de Zuniga, Jal.</v>
      </c>
      <c r="H62" t="s">
        <v>28</v>
      </c>
      <c r="I62" t="s">
        <v>65</v>
      </c>
      <c r="J62" t="s">
        <v>30</v>
      </c>
      <c r="K62" t="s">
        <v>31</v>
      </c>
      <c r="L62" t="s">
        <v>32</v>
      </c>
      <c r="M62" t="s">
        <v>33</v>
      </c>
      <c r="N62" s="1">
        <v>46029</v>
      </c>
      <c r="Q62" s="2">
        <v>22266.27</v>
      </c>
      <c r="R62" t="b">
        <v>0</v>
      </c>
      <c r="S62" s="2">
        <v>40000</v>
      </c>
      <c r="T62" t="s">
        <v>34</v>
      </c>
      <c r="U62" t="s">
        <v>67</v>
      </c>
      <c r="X62">
        <f>Q62*1.16</f>
      </c>
    </row>
    <row r="63">
      <c r="A63" t="str">
        <f>B63</f>
        <v>PIC_TLAJO_062</v>
      </c>
      <c r="B63" t="str">
        <f>HYPERLINK("https://drive.google.com/drive/folders/10T2ph4vs92LzM6qR90qEXqccSLPszKP4";"PIC_TLAJO_062")</f>
        <v>PIC_TLAJO_062</v>
      </c>
      <c r="C63" t="s">
        <v>24</v>
      </c>
      <c r="D63" t="s">
        <v>25</v>
      </c>
      <c r="E63" t="s">
        <v>245</v>
      </c>
      <c r="F63" t="s">
        <v>246</v>
      </c>
      <c r="G63" t="str">
        <f>HYPERLINK("https://www.google.com/maps/search/?api=1&amp;query=Cerro%20de%20la%20Cruz%20357%2C%20Los%20Amiales%2C%2045654%20Tlajomulco%20de%20Zuniga%2C%20Jal.";"Cerro de la Cruz 357, Los Amiales, 45654 Tlajomulco de Zuniga, Jal.")</f>
        <v>Cerro de la Cruz 357, Los Amiales, 45654 Tlajomulco de Zuniga, Jal.</v>
      </c>
      <c r="H63" t="s">
        <v>42</v>
      </c>
      <c r="I63" t="s">
        <v>70</v>
      </c>
      <c r="J63" t="s">
        <v>44</v>
      </c>
      <c r="K63" t="s">
        <v>31</v>
      </c>
      <c r="L63" t="s">
        <v>32</v>
      </c>
      <c r="M63" t="s">
        <v>45</v>
      </c>
      <c r="N63" s="1">
        <v>46061</v>
      </c>
      <c r="O63" s="1">
        <v>46107</v>
      </c>
      <c r="P63" s="1">
        <v>46074</v>
      </c>
      <c r="Q63" s="2">
        <v>14080.19</v>
      </c>
      <c r="R63" t="b">
        <v>0</v>
      </c>
      <c r="S63" s="2">
        <v>40000</v>
      </c>
      <c r="T63">
        <v>4411.1</v>
      </c>
      <c r="U63" t="s">
        <v>72</v>
      </c>
      <c r="V63" t="s">
        <v>247</v>
      </c>
      <c r="W63" t="s">
        <v>248</v>
      </c>
      <c r="X63">
        <f>Q63*1.16</f>
      </c>
    </row>
    <row r="64">
      <c r="A64" t="str">
        <f>B64</f>
        <v>PIC_TLAJO_063</v>
      </c>
      <c r="B64" t="str">
        <f>HYPERLINK("https://drive.google.com/drive/folders/1d9aghbE1C7uBgCRXPcegZmobq1JHkyLx";"PIC_TLAJO_063")</f>
        <v>PIC_TLAJO_063</v>
      </c>
      <c r="C64" t="s">
        <v>24</v>
      </c>
      <c r="D64" t="s">
        <v>25</v>
      </c>
      <c r="E64" t="s">
        <v>249</v>
      </c>
      <c r="F64" t="s">
        <v>250</v>
      </c>
      <c r="G64" t="str">
        <f>HYPERLINK("https://www.google.com/maps/search/?api=1&amp;query=Cerro%20la%20Atalaya%20394%2C%20Villas%20de%20la%20Hacienda%2C%2045645%20Tlajomulco%20de%20Zuniga%2C%20Jal.";"Cerro la Atalaya 394, Villas de la Hacienda, 45645 Tlajomulco de Zuniga, Jal.")</f>
        <v>Cerro la Atalaya 394, Villas de la Hacienda, 45645 Tlajomulco de Zuniga, Jal.</v>
      </c>
      <c r="H64" t="s">
        <v>49</v>
      </c>
      <c r="I64" t="s">
        <v>76</v>
      </c>
      <c r="J64" t="s">
        <v>51</v>
      </c>
      <c r="K64" t="s">
        <v>31</v>
      </c>
      <c r="L64" t="s">
        <v>32</v>
      </c>
      <c r="M64" t="s">
        <v>52</v>
      </c>
      <c r="N64" s="1">
        <v>46090</v>
      </c>
      <c r="O64" s="1">
        <v>46137</v>
      </c>
      <c r="P64" s="1">
        <v>46104</v>
      </c>
      <c r="Q64" s="2">
        <v>32721.98</v>
      </c>
      <c r="R64" t="b">
        <v>0</v>
      </c>
      <c r="S64" s="2">
        <v>40000</v>
      </c>
      <c r="T64">
        <v>5544.17</v>
      </c>
      <c r="U64" t="s">
        <v>78</v>
      </c>
      <c r="W64" t="s">
        <v>251</v>
      </c>
      <c r="X64">
        <f>Q64*1.16</f>
      </c>
    </row>
    <row r="65">
      <c r="A65" t="str">
        <f>B65</f>
        <v>PIC_TLAJO_064</v>
      </c>
      <c r="B65" t="str">
        <f>HYPERLINK("https://drive.google.com/drive/folders/1YKuDsgpkB1KHqP9yh452nfje2mrPcQ3G";"PIC_TLAJO_064")</f>
        <v>PIC_TLAJO_064</v>
      </c>
      <c r="C65" t="s">
        <v>24</v>
      </c>
      <c r="D65" t="s">
        <v>55</v>
      </c>
      <c r="E65" t="s">
        <v>252</v>
      </c>
      <c r="F65" t="s">
        <v>253</v>
      </c>
      <c r="G65" t="str">
        <f>HYPERLINK("https://www.google.com/maps/search/?api=1&amp;query=Monte%20Cabra%20431%2C%20El%20Palomar%2C%2045640%20Tlajomulco%20de%20Zuniga%2C%20Jal.";"Monte Cabra 431, El Palomar, 45640 Tlajomulco de Zuniga, Jal.")</f>
        <v>Monte Cabra 431, El Palomar, 45640 Tlajomulco de Zuniga, Jal.</v>
      </c>
      <c r="H65" t="s">
        <v>58</v>
      </c>
      <c r="I65" t="s">
        <v>81</v>
      </c>
      <c r="J65" t="s">
        <v>60</v>
      </c>
      <c r="K65" t="s">
        <v>31</v>
      </c>
      <c r="L65" t="s">
        <v>32</v>
      </c>
      <c r="M65" t="s">
        <v>61</v>
      </c>
      <c r="N65" s="1">
        <v>46122</v>
      </c>
      <c r="Q65" s="2">
        <v>36336.82</v>
      </c>
      <c r="R65" t="b">
        <v>1</v>
      </c>
      <c r="S65" s="2">
        <v>80000</v>
      </c>
      <c r="T65">
        <v>5175.15</v>
      </c>
      <c r="U65" t="s">
        <v>35</v>
      </c>
      <c r="X65">
        <f>Q65*1.16</f>
      </c>
    </row>
    <row r="66">
      <c r="A66" t="str">
        <f>B66</f>
        <v>PRV_INFVT_065</v>
      </c>
      <c r="B66" t="str">
        <f>HYPERLINK("https://drive.google.com/drive/folders/1RUapyv2B2XqhzVg50xm62ScjazcPADjW";"PRV_INFVT_065")</f>
        <v>PRV_INFVT_065</v>
      </c>
      <c r="C66" t="s">
        <v>83</v>
      </c>
      <c r="D66" t="s">
        <v>152</v>
      </c>
      <c r="E66" t="s">
        <v>254</v>
      </c>
      <c r="F66" t="s">
        <v>255</v>
      </c>
      <c r="G66" t="str">
        <f>HYPERLINK("https://www.google.com/maps/search/?api=1&amp;query=Cerro%20de%20las%207%20Gotas%20468%2C%20Santa%20Fe%2C%2045653%20Tlajomulco%20de%20Zuniga%2C%20Jal.";"Cerro de las 7 Gotas 468, Santa Fe, 45653 Tlajomulco de Zuniga, Jal.")</f>
        <v>Cerro de las 7 Gotas 468, Santa Fe, 45653 Tlajomulco de Zuniga, Jal.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  <c r="M66" t="s">
        <v>66</v>
      </c>
      <c r="N66" s="1">
        <v>46153</v>
      </c>
      <c r="R66" t="b">
        <v>0</v>
      </c>
      <c r="S66" s="2">
        <v>40000</v>
      </c>
      <c r="T66" t="s">
        <v>34</v>
      </c>
      <c r="U66" t="s">
        <v>46</v>
      </c>
      <c r="X66">
        <f>Q66*1.16</f>
      </c>
    </row>
    <row r="67">
      <c r="A67" t="str">
        <f>B67</f>
        <v>PRV_INFVT_066</v>
      </c>
      <c r="B67" t="str">
        <f>HYPERLINK("https://drive.google.com/drive/folders/1N6vMktZ6drSK7WAfc01WciEdCtt1ahcK?usp=drive_link";"PRV_INFVT_066")</f>
        <v>PRV_INFVT_066</v>
      </c>
      <c r="C67" t="s">
        <v>83</v>
      </c>
      <c r="D67" t="s">
        <v>55</v>
      </c>
      <c r="E67" t="s">
        <v>256</v>
      </c>
      <c r="F67" t="s">
        <v>257</v>
      </c>
      <c r="G67" t="str">
        <f>HYPERLINK("https://www.google.com/maps/search/?api=1&amp;query=Esteli%20105%2C%20Hacienda%20Santa%20Fe%2C%2045654%20Tlajomulco%20de%20Zuniga%2C%20Jal.";"Esteli 105, Hacienda Santa Fe, 45654 Tlajomulco de Zuniga, Jal.")</f>
        <v>Esteli 105, Hacienda Santa Fe, 45654 Tlajomulco de Zuniga, Jal.</v>
      </c>
      <c r="H67" t="s">
        <v>42</v>
      </c>
      <c r="I67" t="s">
        <v>43</v>
      </c>
      <c r="J67" t="s">
        <v>44</v>
      </c>
      <c r="K67" t="s">
        <v>31</v>
      </c>
      <c r="L67" t="s">
        <v>32</v>
      </c>
      <c r="M67" t="s">
        <v>71</v>
      </c>
      <c r="N67" s="1">
        <v>46185</v>
      </c>
      <c r="R67" t="b">
        <v>0</v>
      </c>
      <c r="S67" s="2">
        <v>40000</v>
      </c>
      <c r="T67">
        <v>6840.07</v>
      </c>
      <c r="U67" t="s">
        <v>53</v>
      </c>
      <c r="X67">
        <f>Q67*1.16</f>
      </c>
    </row>
    <row r="68">
      <c r="A68" t="str">
        <f>B68</f>
        <v>PIC_TLAJO_067</v>
      </c>
      <c r="B68" t="str">
        <f>HYPERLINK("https://drive.google.com/drive/folders/1wfkNv66ykXNX8NJfwaBEKFYuomdcT8So";"PIC_TLAJO_067")</f>
        <v>PIC_TLAJO_067</v>
      </c>
      <c r="C68" t="s">
        <v>24</v>
      </c>
      <c r="D68" t="s">
        <v>55</v>
      </c>
      <c r="E68" t="s">
        <v>258</v>
      </c>
      <c r="F68" t="s">
        <v>259</v>
      </c>
      <c r="G68" t="str">
        <f>HYPERLINK("https://www.google.com/maps/search/?api=1&amp;query=Montevideo%20142%2C%20Chulavista%2C%2045645%20Tlajomulco%20de%20Zuniga%2C%20Jal.";"Montevideo 142, Chulavista, 45645 Tlajomulco de Zuniga, Jal.")</f>
        <v>Montevideo 142, Chulavista, 45645 Tlajomulco de Zuniga, Jal.</v>
      </c>
      <c r="H68" t="s">
        <v>49</v>
      </c>
      <c r="I68" t="s">
        <v>50</v>
      </c>
      <c r="J68" t="s">
        <v>51</v>
      </c>
      <c r="K68" t="s">
        <v>31</v>
      </c>
      <c r="L68" t="s">
        <v>32</v>
      </c>
      <c r="M68" t="s">
        <v>77</v>
      </c>
      <c r="N68" s="1">
        <v>46035</v>
      </c>
      <c r="Q68" s="2">
        <v>36445.64</v>
      </c>
      <c r="R68" t="b">
        <v>0</v>
      </c>
      <c r="S68" s="2">
        <v>40000</v>
      </c>
      <c r="T68">
        <v>5112.68</v>
      </c>
      <c r="U68" t="s">
        <v>62</v>
      </c>
      <c r="X68">
        <f>Q68*1.16</f>
      </c>
    </row>
    <row r="69">
      <c r="A69" t="str">
        <f>B69</f>
        <v>PIC_TLAJO_068</v>
      </c>
      <c r="B69" t="str">
        <f>HYPERLINK("https://drive.google.com/drive/folders/1rhVAxqfN42dXrMZohRDFHV3NKE3Kn9LF";"PIC_TLAJO_068")</f>
        <v>PIC_TLAJO_068</v>
      </c>
      <c r="C69" t="s">
        <v>24</v>
      </c>
      <c r="D69" t="s">
        <v>100</v>
      </c>
      <c r="E69" t="s">
        <v>260</v>
      </c>
      <c r="F69" t="s">
        <v>261</v>
      </c>
      <c r="G69" t="str">
        <f>HYPERLINK("https://www.google.com/maps/search/?api=1&amp;query=Av.%20Bogota%20179%2C%20LOMAS%2C%2045640%20Tlajomulco%20de%20Zuniga%2C%20Jal.";"Av. Bogota 179, LOMAS, 45640 Tlajomulco de Zuniga, Jal.")</f>
        <v>Av. Bogota 179, LOMAS, 45640 Tlajomulco de Zuniga, Jal.</v>
      </c>
      <c r="H69" t="s">
        <v>58</v>
      </c>
      <c r="I69" t="s">
        <v>59</v>
      </c>
      <c r="J69" t="s">
        <v>60</v>
      </c>
      <c r="K69" t="s">
        <v>31</v>
      </c>
      <c r="L69" t="s">
        <v>32</v>
      </c>
      <c r="M69" t="s">
        <v>82</v>
      </c>
      <c r="N69" s="1">
        <v>46067</v>
      </c>
      <c r="O69" s="1">
        <v>46119</v>
      </c>
      <c r="P69" s="1">
        <v>46086</v>
      </c>
      <c r="Q69" s="2">
        <v>15642.04</v>
      </c>
      <c r="R69" t="b">
        <v>0</v>
      </c>
      <c r="S69" s="2">
        <v>40000</v>
      </c>
      <c r="T69">
        <v>2766.0</v>
      </c>
      <c r="U69" t="s">
        <v>67</v>
      </c>
      <c r="V69" t="s">
        <v>262</v>
      </c>
      <c r="X69">
        <f>Q69*1.16</f>
      </c>
    </row>
    <row r="70">
      <c r="A70" t="str">
        <f>B70</f>
        <v>PRV_INFVT_069</v>
      </c>
      <c r="B70" t="str">
        <f>HYPERLINK("https://drive.google.com/drive/folders/1z6jzkqTsVoqDRydAvBQV8X0kBZztX3L6";"PRV_INFVT_069")</f>
        <v>PRV_INFVT_069</v>
      </c>
      <c r="C70" t="s">
        <v>83</v>
      </c>
      <c r="D70" t="s">
        <v>152</v>
      </c>
      <c r="E70" t="s">
        <v>263</v>
      </c>
      <c r="F70" t="s">
        <v>264</v>
      </c>
      <c r="G70" t="str">
        <f>HYPERLINK("https://www.google.com/maps/search/?api=1&amp;query=Blvd.%20Republica%20de%20Honduras%20216%2C%20Lomas%20del%20Sur%2C%2045653%20Tlajomulco%20de%20Zuniga%2C%20Jal.";"Blvd. Republica de Honduras 216, Lomas del Sur, 45653 Tlajomulco de Zuniga, Jal.")</f>
        <v>Blvd. Republica de Honduras 216, Lomas del Sur, 45653 Tlajomulco de Zuniga, Jal.</v>
      </c>
      <c r="H70" t="s">
        <v>28</v>
      </c>
      <c r="I70" t="s">
        <v>65</v>
      </c>
      <c r="J70" t="s">
        <v>30</v>
      </c>
      <c r="K70" t="s">
        <v>31</v>
      </c>
      <c r="L70" t="s">
        <v>32</v>
      </c>
      <c r="M70" t="s">
        <v>86</v>
      </c>
      <c r="N70" s="1">
        <v>46096</v>
      </c>
      <c r="R70" t="b">
        <v>0</v>
      </c>
      <c r="S70" s="2">
        <v>40000</v>
      </c>
      <c r="T70" t="s">
        <v>34</v>
      </c>
      <c r="U70" t="s">
        <v>72</v>
      </c>
      <c r="X70">
        <f>Q70*1.16</f>
      </c>
    </row>
    <row r="71">
      <c r="A71" t="str">
        <f>B71</f>
        <v>PRV_INFVT_070</v>
      </c>
      <c r="B71" t="str">
        <f>HYPERLINK("https://drive.google.com/drive/folders/12YSq4SCZwHypDJCCmCGUwaLS290rhzcs";"PRV_INFVT_070")</f>
        <v>PRV_INFVT_070</v>
      </c>
      <c r="C71" t="s">
        <v>83</v>
      </c>
      <c r="D71" t="s">
        <v>25</v>
      </c>
      <c r="E71" t="s">
        <v>265</v>
      </c>
      <c r="F71" t="s">
        <v>266</v>
      </c>
      <c r="G71" t="str">
        <f>HYPERLINK("https://www.google.com/maps/search/?api=1&amp;query=Paseo%20de%20los%20Agaves%20253%2C%20Los%20Amiales%2C%2045654%20Tlajomulco%20de%20Zuniga%2C%20Jal.";"Paseo de los Agaves 253, Los Amiales, 45654 Tlajomulco de Zuniga, Jal.")</f>
        <v>Paseo de los Agaves 253, Los Amiales, 45654 Tlajomulco de Zuniga, Jal.</v>
      </c>
      <c r="H71" t="s">
        <v>42</v>
      </c>
      <c r="I71" t="s">
        <v>70</v>
      </c>
      <c r="J71" t="s">
        <v>44</v>
      </c>
      <c r="K71" t="s">
        <v>31</v>
      </c>
      <c r="L71" t="s">
        <v>32</v>
      </c>
      <c r="M71" t="s">
        <v>89</v>
      </c>
      <c r="N71" s="1">
        <v>46128</v>
      </c>
      <c r="O71" s="1">
        <v>46182</v>
      </c>
      <c r="P71" s="1">
        <v>46149</v>
      </c>
      <c r="Q71" s="2">
        <v>15402.73</v>
      </c>
      <c r="R71" t="b">
        <v>0</v>
      </c>
      <c r="S71" s="2">
        <v>40000</v>
      </c>
      <c r="T71">
        <v>4857.62</v>
      </c>
      <c r="U71" t="s">
        <v>78</v>
      </c>
      <c r="V71" t="s">
        <v>267</v>
      </c>
      <c r="W71" t="s">
        <v>268</v>
      </c>
      <c r="X71">
        <f>Q71*1.16</f>
      </c>
    </row>
    <row r="72">
      <c r="A72" t="str">
        <f>B72</f>
        <v>PIC_TLAJO_071</v>
      </c>
      <c r="B72" t="str">
        <f>HYPERLINK("https://drive.google.com/drive/folders/1PaeAk7bnWFvBTu6wCX9vmYDhYQc7tbpw?usp=drive_link";"PIC_TLAJO_071")</f>
        <v>PIC_TLAJO_071</v>
      </c>
      <c r="C72" t="s">
        <v>24</v>
      </c>
      <c r="D72" t="s">
        <v>39</v>
      </c>
      <c r="E72" t="s">
        <v>269</v>
      </c>
      <c r="F72" t="s">
        <v>270</v>
      </c>
      <c r="G72" t="str">
        <f>HYPERLINK("https://www.google.com/maps/search/?api=1&amp;query=Volcan%20Paricutin%20290%2C%20Villas%20de%20la%20Hacienda%2C%2045645%20Tlajomulco%20de%20Zuniga%2C%20Jal.";"Volcan Paricutin 290, Villas de la Hacienda, 45645 Tlajomulco de Zuniga, Jal.")</f>
        <v>Volcan Paricutin 290, Villas de la Hacienda, 45645 Tlajomulco de Zuniga, Jal.</v>
      </c>
      <c r="H72" t="s">
        <v>49</v>
      </c>
      <c r="I72" t="s">
        <v>76</v>
      </c>
      <c r="J72" t="s">
        <v>51</v>
      </c>
      <c r="K72" t="s">
        <v>31</v>
      </c>
      <c r="L72" t="s">
        <v>32</v>
      </c>
      <c r="M72" t="s">
        <v>94</v>
      </c>
      <c r="N72" s="1">
        <v>46159</v>
      </c>
      <c r="R72" t="b">
        <v>0</v>
      </c>
      <c r="S72" s="2">
        <v>40000</v>
      </c>
      <c r="T72">
        <v>8322.88</v>
      </c>
      <c r="U72" t="s">
        <v>35</v>
      </c>
      <c r="X72">
        <f>Q72*1.16</f>
      </c>
    </row>
    <row r="73">
      <c r="A73" t="str">
        <f>B73</f>
        <v>PIC_TLAJO_072</v>
      </c>
      <c r="B73" t="str">
        <f>HYPERLINK("https://drive.google.com/drive/folders/1rtDJxvmRa788UWdPTyHFJxRvEx7qfpuU";"PIC_TLAJO_072")</f>
        <v>PIC_TLAJO_072</v>
      </c>
      <c r="C73" t="s">
        <v>24</v>
      </c>
      <c r="D73" t="s">
        <v>100</v>
      </c>
      <c r="E73" t="s">
        <v>271</v>
      </c>
      <c r="F73" t="s">
        <v>272</v>
      </c>
      <c r="G73" t="str">
        <f>HYPERLINK("https://www.google.com/maps/search/?api=1&amp;query=Loma%20Dorada%20327%2C%20El%20Palomar%2C%2045640%20Tlajomulco%20de%20Zuniga%2C%20Jal.";"Loma Dorada 327, El Palomar, 45640 Tlajomulco de Zuniga, Jal.")</f>
        <v>Loma Dorada 327, El Palomar, 45640 Tlajomulco de Zuniga, Jal.</v>
      </c>
      <c r="H73" t="s">
        <v>58</v>
      </c>
      <c r="I73" t="s">
        <v>81</v>
      </c>
      <c r="J73" t="s">
        <v>60</v>
      </c>
      <c r="K73" t="s">
        <v>31</v>
      </c>
      <c r="L73" t="s">
        <v>32</v>
      </c>
      <c r="M73" t="s">
        <v>99</v>
      </c>
      <c r="N73" s="1">
        <v>46191</v>
      </c>
      <c r="P73" s="1">
        <v>46214</v>
      </c>
      <c r="Q73" s="2">
        <v>28986.69</v>
      </c>
      <c r="R73" t="b">
        <v>0</v>
      </c>
      <c r="S73" s="2">
        <v>40000</v>
      </c>
      <c r="T73">
        <v>5467.73</v>
      </c>
      <c r="U73" t="s">
        <v>46</v>
      </c>
      <c r="X73">
        <f>Q73*1.16</f>
      </c>
    </row>
    <row r="74">
      <c r="A74" t="str">
        <f>B74</f>
        <v>PIC_TLAJO_073</v>
      </c>
      <c r="B74" t="str">
        <f>HYPERLINK("https://drive.google.com/drive/folders/19Mkp8VzQgsTVwAx9AE3EVANWd8F47Ys7";"PIC_TLAJO_073")</f>
        <v>PIC_TLAJO_073</v>
      </c>
      <c r="C74" t="s">
        <v>24</v>
      </c>
      <c r="D74" t="s">
        <v>25</v>
      </c>
      <c r="E74" t="s">
        <v>273</v>
      </c>
      <c r="F74" t="s">
        <v>274</v>
      </c>
      <c r="G74" t="str">
        <f>HYPERLINK("https://www.google.com/maps/search/?api=1&amp;query=Real%20de%20Minas%20364%2C%20Santa%20Fe%2C%2045653%20Tlajomulco%20de%20Zuniga%2C%20Jal.";"Real de Minas 364, Santa Fe, 45653 Tlajomulco de Zuniga, Jal.")</f>
        <v>Real de Minas 364, Santa Fe, 45653 Tlajomulco de Zuniga, Jal.</v>
      </c>
      <c r="H74" t="s">
        <v>28</v>
      </c>
      <c r="I74" t="s">
        <v>29</v>
      </c>
      <c r="J74" t="s">
        <v>30</v>
      </c>
      <c r="K74" t="s">
        <v>31</v>
      </c>
      <c r="L74" t="s">
        <v>32</v>
      </c>
      <c r="M74" t="s">
        <v>33</v>
      </c>
      <c r="N74" s="1">
        <v>46041</v>
      </c>
      <c r="O74" s="1">
        <v>46098</v>
      </c>
      <c r="P74" s="1">
        <v>46065</v>
      </c>
      <c r="Q74" s="2">
        <v>56789.26</v>
      </c>
      <c r="R74" t="b">
        <v>1</v>
      </c>
      <c r="S74" s="2">
        <v>80000</v>
      </c>
      <c r="T74" t="s">
        <v>34</v>
      </c>
      <c r="U74" t="s">
        <v>53</v>
      </c>
      <c r="V74" t="s">
        <v>275</v>
      </c>
      <c r="W74" t="s">
        <v>276</v>
      </c>
      <c r="X74">
        <f>Q74*1.16</f>
      </c>
    </row>
    <row r="75">
      <c r="A75" t="str">
        <f>B75</f>
        <v>PRV_INFVT_074</v>
      </c>
      <c r="B75" t="str">
        <f>HYPERLINK("https://drive.google.com/drive/folders/1meqnm3yVVP7aoa5oUeMr6N5LwLQ2XGiC";"PRV_INFVT_074")</f>
        <v>PRV_INFVT_074</v>
      </c>
      <c r="C75" t="s">
        <v>83</v>
      </c>
      <c r="D75" t="s">
        <v>55</v>
      </c>
      <c r="E75" t="s">
        <v>277</v>
      </c>
      <c r="F75" t="s">
        <v>278</v>
      </c>
      <c r="G75" t="str">
        <f>HYPERLINK("https://www.google.com/maps/search/?api=1&amp;query=Camino%20Real%20401%2C%20Hacienda%20Santa%20Fe%2C%2045654%20Tlajomulco%20de%20Zuniga%2C%20Jal.";"Camino Real 401, Hacienda Santa Fe, 45654 Tlajomulco de Zuniga, Jal.")</f>
        <v>Camino Real 401, Hacienda Santa Fe, 45654 Tlajomulco de Zuniga, Jal.</v>
      </c>
      <c r="H75" t="s">
        <v>42</v>
      </c>
      <c r="I75" t="s">
        <v>43</v>
      </c>
      <c r="J75" t="s">
        <v>44</v>
      </c>
      <c r="K75" t="s">
        <v>31</v>
      </c>
      <c r="L75" t="s">
        <v>32</v>
      </c>
      <c r="M75" t="s">
        <v>45</v>
      </c>
      <c r="N75" s="1">
        <v>46073</v>
      </c>
      <c r="R75" t="b">
        <v>0</v>
      </c>
      <c r="S75" s="2">
        <v>40000</v>
      </c>
      <c r="T75">
        <v>3519.09</v>
      </c>
      <c r="U75" t="s">
        <v>62</v>
      </c>
      <c r="X75">
        <f>Q75*1.16</f>
      </c>
    </row>
    <row r="76">
      <c r="A76" t="str">
        <f>B76</f>
        <v>PRV_INFVT_075</v>
      </c>
      <c r="B76" t="str">
        <f>HYPERLINK("https://drive.google.com/drive/folders/1fnGmVZ1rzh8n90kTxxzgYzTRJ5qQ7Qqu";"PRV_INFVT_075")</f>
        <v>PRV_INFVT_075</v>
      </c>
      <c r="C76" t="s">
        <v>83</v>
      </c>
      <c r="D76" t="s">
        <v>100</v>
      </c>
      <c r="E76" t="s">
        <v>279</v>
      </c>
      <c r="F76" t="s">
        <v>280</v>
      </c>
      <c r="G76" t="str">
        <f>HYPERLINK("https://www.google.com/maps/search/?api=1&amp;query=Rinconada%20del%20Sol%20438%2C%20Chulavista%2C%2045645%20Tlajomulco%20de%20Zuniga%2C%20Jal.";"Rinconada del Sol 438, Chulavista, 45645 Tlajomulco de Zuniga, Jal.")</f>
        <v>Rinconada del Sol 438, Chulavista, 45645 Tlajomulco de Zuniga, Jal.</v>
      </c>
      <c r="H76" t="s">
        <v>49</v>
      </c>
      <c r="I76" t="s">
        <v>50</v>
      </c>
      <c r="J76" t="s">
        <v>51</v>
      </c>
      <c r="K76" t="s">
        <v>31</v>
      </c>
      <c r="L76" t="s">
        <v>32</v>
      </c>
      <c r="M76" t="s">
        <v>52</v>
      </c>
      <c r="N76" s="1">
        <v>46102</v>
      </c>
      <c r="O76" s="1">
        <v>46161</v>
      </c>
      <c r="P76" s="1">
        <v>46128</v>
      </c>
      <c r="Q76" s="2">
        <v>14615.87</v>
      </c>
      <c r="R76" t="b">
        <v>0</v>
      </c>
      <c r="S76" s="2">
        <v>40000</v>
      </c>
      <c r="T76">
        <v>6688.55</v>
      </c>
      <c r="U76" t="s">
        <v>67</v>
      </c>
      <c r="W76" t="s">
        <v>281</v>
      </c>
      <c r="X76">
        <f>Q76*1.16</f>
      </c>
    </row>
    <row r="77">
      <c r="A77" t="str">
        <f>B77</f>
        <v>PIC_TLAJO_076</v>
      </c>
      <c r="B77" t="str">
        <f>HYPERLINK("https://drive.google.com/drive/folders/1wtGU9DgkhEXNhFkQAVQz2C4s1d3KDyvN?usp=drive_link";"PIC_TLAJO_076")</f>
        <v>PIC_TLAJO_076</v>
      </c>
      <c r="C77" t="s">
        <v>24</v>
      </c>
      <c r="D77" t="s">
        <v>100</v>
      </c>
      <c r="E77" t="s">
        <v>282</v>
      </c>
      <c r="F77" t="s">
        <v>283</v>
      </c>
      <c r="G77" t="str">
        <f>HYPERLINK("https://www.google.com/maps/search/?api=1&amp;query=Hacienda%20Vieja%20475%2C%20LOMAS%2C%2045640%20Tlajomulco%20de%20Zuniga%2C%20Jal.";"Hacienda Vieja 475, LOMAS, 45640 Tlajomulco de Zuniga, Jal.")</f>
        <v>Hacienda Vieja 475, LOMAS, 45640 Tlajomulco de Zuniga, Jal.</v>
      </c>
      <c r="H77" t="s">
        <v>58</v>
      </c>
      <c r="I77" t="s">
        <v>59</v>
      </c>
      <c r="J77" t="s">
        <v>60</v>
      </c>
      <c r="K77" t="s">
        <v>31</v>
      </c>
      <c r="L77" t="s">
        <v>32</v>
      </c>
      <c r="M77" t="s">
        <v>61</v>
      </c>
      <c r="N77" s="1">
        <v>46134</v>
      </c>
      <c r="O77" s="1">
        <v>46194</v>
      </c>
      <c r="P77" s="1">
        <v>46161</v>
      </c>
      <c r="Q77" s="2">
        <v>15144.24</v>
      </c>
      <c r="R77" t="b">
        <v>0</v>
      </c>
      <c r="S77" s="2">
        <v>40000</v>
      </c>
      <c r="T77">
        <v>6779.04</v>
      </c>
      <c r="U77" t="s">
        <v>72</v>
      </c>
      <c r="V77" t="s">
        <v>284</v>
      </c>
      <c r="X77">
        <f>Q77*1.16</f>
      </c>
    </row>
    <row r="78">
      <c r="A78" t="str">
        <f>B78</f>
        <v>BNC_HSBC_077</v>
      </c>
      <c r="B78" t="str">
        <f>HYPERLINK("https://drive.google.com/drive/folders/1WUkDsp96isCRfAJgdmHDTVFgz7X9bjxD";"BNC_HSBC_077")</f>
        <v>BNC_HSBC_077</v>
      </c>
      <c r="C78" t="s">
        <v>38</v>
      </c>
      <c r="D78" t="s">
        <v>100</v>
      </c>
      <c r="E78" t="s">
        <v>285</v>
      </c>
      <c r="F78" t="s">
        <v>286</v>
      </c>
      <c r="G78" t="str">
        <f>HYPERLINK("https://www.google.com/maps/search/?api=1&amp;query=Portal%20de%20San%20Juan%20112%2C%20Lomas%20del%20Sur%2C%2045653%20Tlajomulco%20de%20Zuniga%2C%20Jal.";"Portal de San Juan 112, Lomas del Sur, 45653 Tlajomulco de Zuniga, Jal.")</f>
        <v>Portal de San Juan 112, Lomas del Sur, 45653 Tlajomulco de Zuniga, Jal.</v>
      </c>
      <c r="H78" t="s">
        <v>28</v>
      </c>
      <c r="I78" t="s">
        <v>65</v>
      </c>
      <c r="J78" t="s">
        <v>30</v>
      </c>
      <c r="K78" t="s">
        <v>31</v>
      </c>
      <c r="L78" t="s">
        <v>32</v>
      </c>
      <c r="M78" t="s">
        <v>66</v>
      </c>
      <c r="N78" s="1">
        <v>46165</v>
      </c>
      <c r="O78" s="1">
        <v>46226</v>
      </c>
      <c r="P78" s="1">
        <v>46193</v>
      </c>
      <c r="Q78" s="2">
        <v>15486.92</v>
      </c>
      <c r="R78" t="b">
        <v>0</v>
      </c>
      <c r="S78" s="2">
        <v>40000</v>
      </c>
      <c r="T78" t="s">
        <v>34</v>
      </c>
      <c r="U78" t="s">
        <v>78</v>
      </c>
      <c r="V78" t="s">
        <v>287</v>
      </c>
      <c r="W78" t="s">
        <v>288</v>
      </c>
      <c r="X78">
        <f>Q78*1.16</f>
      </c>
    </row>
    <row r="79">
      <c r="A79" t="str">
        <f>B79</f>
        <v>PRV_INFVT_078</v>
      </c>
      <c r="B79" t="str">
        <f>HYPERLINK("https://drive.google.com/drive/folders/19bKLfmk0ik761Wct3uHoFukkcT9WF5sb";"PRV_INFVT_078")</f>
        <v>PRV_INFVT_078</v>
      </c>
      <c r="C79" t="s">
        <v>83</v>
      </c>
      <c r="D79" t="s">
        <v>25</v>
      </c>
      <c r="E79" t="s">
        <v>289</v>
      </c>
      <c r="F79" t="s">
        <v>290</v>
      </c>
      <c r="G79" t="str">
        <f>HYPERLINK("https://www.google.com/maps/search/?api=1&amp;query=Valle%20de%20Toluca%20149%2C%20Los%20Amiales%2C%2045654%20Tlajomulco%20de%20Zuniga%2C%20Jal.";"Valle de Toluca 149, Los Amiales, 45654 Tlajomulco de Zuniga, Jal.")</f>
        <v>Valle de Toluca 149, Los Amiales, 45654 Tlajomulco de Zuniga, Jal.</v>
      </c>
      <c r="H79" t="s">
        <v>42</v>
      </c>
      <c r="I79" t="s">
        <v>70</v>
      </c>
      <c r="J79" t="s">
        <v>44</v>
      </c>
      <c r="K79" t="s">
        <v>31</v>
      </c>
      <c r="L79" t="s">
        <v>32</v>
      </c>
      <c r="M79" t="s">
        <v>71</v>
      </c>
      <c r="N79" s="1">
        <v>46197</v>
      </c>
      <c r="O79" s="1">
        <v>46259</v>
      </c>
      <c r="P79" s="1">
        <v>46226</v>
      </c>
      <c r="Q79" s="2">
        <v>24712.67</v>
      </c>
      <c r="R79" t="b">
        <v>0</v>
      </c>
      <c r="S79" s="2">
        <v>40000</v>
      </c>
      <c r="T79">
        <v>3553.65</v>
      </c>
      <c r="U79" t="s">
        <v>35</v>
      </c>
      <c r="W79" t="s">
        <v>291</v>
      </c>
      <c r="X79">
        <f>Q79*1.16</f>
      </c>
    </row>
    <row r="80">
      <c r="A80" t="str">
        <f>B80</f>
        <v>PIC_TLAJO_079</v>
      </c>
      <c r="B80" t="str">
        <f>HYPERLINK("https://drive.google.com/drive/folders/1rsLZJyMBfDs7csVpYxmTivfnivfg31C3";"PIC_TLAJO_079")</f>
        <v>PIC_TLAJO_079</v>
      </c>
      <c r="C80" t="s">
        <v>24</v>
      </c>
      <c r="D80" t="s">
        <v>39</v>
      </c>
      <c r="E80" t="s">
        <v>292</v>
      </c>
      <c r="F80" t="s">
        <v>293</v>
      </c>
      <c r="G80" t="str">
        <f>HYPERLINK("https://www.google.com/maps/search/?api=1&amp;query=Cerro%20Gordo%20186%2C%20Villas%20de%20la%20Hacienda%2C%2045645%20Tlajomulco%20de%20Zuniga%2C%20Jal.";"Cerro Gordo 186, Villas de la Hacienda, 45645 Tlajomulco de Zuniga, Jal.")</f>
        <v>Cerro Gordo 186, Villas de la Hacienda, 45645 Tlajomulco de Zuniga, Jal.</v>
      </c>
      <c r="H80" t="s">
        <v>49</v>
      </c>
      <c r="I80" t="s">
        <v>76</v>
      </c>
      <c r="J80" t="s">
        <v>51</v>
      </c>
      <c r="K80" t="s">
        <v>31</v>
      </c>
      <c r="L80" t="s">
        <v>32</v>
      </c>
      <c r="M80" t="s">
        <v>77</v>
      </c>
      <c r="N80" s="1">
        <v>46047</v>
      </c>
      <c r="Q80" s="2">
        <v>30257.96</v>
      </c>
      <c r="R80" t="b">
        <v>0</v>
      </c>
      <c r="S80" s="2">
        <v>40000</v>
      </c>
      <c r="T80">
        <v>4837.0</v>
      </c>
      <c r="U80" t="s">
        <v>46</v>
      </c>
      <c r="X80">
        <f>Q80*1.16</f>
      </c>
    </row>
    <row r="81">
      <c r="A81" t="str">
        <f>B81</f>
        <v>CART_SOJI_TLAJO_080</v>
      </c>
      <c r="B81" t="str">
        <f>HYPERLINK("https://drive.google.com/drive/folders/1epgmCSqLDJMGjt9Cywscd4ipTjJ1THtw";"CART_SOJI_TLAJO_080")</f>
        <v>CART_SOJI_TLAJO_080</v>
      </c>
      <c r="C81" t="s">
        <v>294</v>
      </c>
      <c r="D81" t="s">
        <v>100</v>
      </c>
      <c r="E81" t="s">
        <v>295</v>
      </c>
      <c r="F81" t="s">
        <v>296</v>
      </c>
      <c r="G81" t="str">
        <f>HYPERLINK("https://www.google.com/maps/search/?api=1&amp;query=Prado%20Sur%20223%2C%20El%20Palomar%2C%2045640%20Tlajomulco%20de%20Zuniga%2C%20Jal.";"Prado Sur 223, El Palomar, 45640 Tlajomulco de Zuniga, Jal.")</f>
        <v>Prado Sur 223, El Palomar, 45640 Tlajomulco de Zuniga, Jal.</v>
      </c>
      <c r="H81" t="s">
        <v>58</v>
      </c>
      <c r="I81" t="s">
        <v>81</v>
      </c>
      <c r="J81" t="s">
        <v>60</v>
      </c>
      <c r="K81" t="s">
        <v>31</v>
      </c>
      <c r="L81" t="s">
        <v>32</v>
      </c>
      <c r="M81" t="s">
        <v>82</v>
      </c>
      <c r="N81" s="1">
        <v>46079</v>
      </c>
      <c r="O81" s="1">
        <v>46143</v>
      </c>
      <c r="P81" s="1">
        <v>46110</v>
      </c>
      <c r="Q81" s="2">
        <v>22088.68</v>
      </c>
      <c r="R81" t="b">
        <v>0</v>
      </c>
      <c r="S81" s="2">
        <v>40000</v>
      </c>
      <c r="T81">
        <v>8707.43</v>
      </c>
      <c r="U81" t="s">
        <v>53</v>
      </c>
      <c r="V81" t="s">
        <v>297</v>
      </c>
      <c r="X81">
        <f>Q81*1.16</f>
      </c>
    </row>
    <row r="82">
      <c r="A82" t="str">
        <f>B82</f>
        <v>PIC_TLAJO_081</v>
      </c>
      <c r="B82" t="str">
        <f>HYPERLINK("https://drive.google.com/drive/folders/1hWRpiD6YT58JnTd3a1A863pMJCETAxdd?usp=drive_link";"PIC_TLAJO_081")</f>
        <v>PIC_TLAJO_081</v>
      </c>
      <c r="C82" t="s">
        <v>24</v>
      </c>
      <c r="D82" t="s">
        <v>152</v>
      </c>
      <c r="E82" t="s">
        <v>298</v>
      </c>
      <c r="F82" t="s">
        <v>299</v>
      </c>
      <c r="G82" t="str">
        <f>HYPERLINK("https://www.google.com/maps/search/?api=1&amp;query=Av.%20Temuco%20260%2C%20Santa%20Fe%2C%2045653%20Tlajomulco%20de%20Zuniga%2C%20Jal.";"Av. Temuco 260, Santa Fe, 45653 Tlajomulco de Zuniga, Jal.")</f>
        <v>Av. Temuco 260, Santa Fe, 45653 Tlajomulco de Zuniga, Jal.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86</v>
      </c>
      <c r="N82" s="1">
        <v>46108</v>
      </c>
      <c r="R82" t="b">
        <v>0</v>
      </c>
      <c r="S82" s="2">
        <v>40000</v>
      </c>
      <c r="T82" t="s">
        <v>34</v>
      </c>
      <c r="U82" t="s">
        <v>62</v>
      </c>
      <c r="X82">
        <f>Q82*1.16</f>
      </c>
    </row>
    <row r="83">
      <c r="A83" t="str">
        <f>B83</f>
        <v>PIC_TLAJO_082</v>
      </c>
      <c r="B83" t="str">
        <f>HYPERLINK("https://drive.google.com/drive/folders/1wSehL2zj6yfh20F41UgKZGiLb41CXpnr";"PIC_TLAJO_082")</f>
        <v>PIC_TLAJO_082</v>
      </c>
      <c r="C83" t="s">
        <v>24</v>
      </c>
      <c r="D83" t="s">
        <v>39</v>
      </c>
      <c r="E83" t="s">
        <v>300</v>
      </c>
      <c r="F83" t="s">
        <v>301</v>
      </c>
      <c r="G83" t="str">
        <f>HYPERLINK("https://www.google.com/maps/search/?api=1&amp;query=Cerro%20de%20la%20Cruz%20297%2C%20Hacienda%20Santa%20Fe%2C%2045654%20Tlajomulco%20de%20Zuniga%2C%20Jal.";"Cerro de la Cruz 297, Hacienda Santa Fe, 45654 Tlajomulco de Zuniga, Jal.")</f>
        <v>Cerro de la Cruz 297, Hacienda Santa Fe, 45654 Tlajomulco de Zuniga, Jal.</v>
      </c>
      <c r="H83" t="s">
        <v>42</v>
      </c>
      <c r="I83" t="s">
        <v>43</v>
      </c>
      <c r="J83" t="s">
        <v>44</v>
      </c>
      <c r="K83" t="s">
        <v>31</v>
      </c>
      <c r="L83" t="s">
        <v>32</v>
      </c>
      <c r="M83" t="s">
        <v>89</v>
      </c>
      <c r="N83" s="1">
        <v>46113</v>
      </c>
      <c r="Q83" s="2">
        <v>25024.68</v>
      </c>
      <c r="R83" t="b">
        <v>1</v>
      </c>
      <c r="S83" s="2">
        <v>80000</v>
      </c>
      <c r="T83">
        <v>4509.51</v>
      </c>
      <c r="U83" t="s">
        <v>67</v>
      </c>
      <c r="X83">
        <f>Q83*1.16</f>
      </c>
    </row>
    <row r="84">
      <c r="A84" t="str">
        <f>B84</f>
        <v>PRV_INFVT_083</v>
      </c>
      <c r="B84" t="str">
        <f>HYPERLINK("https://drive.google.com/drive/folders/1gSq4wbtJQ26JWHc682fKxPX07jV4NCa1";"PRV_INFVT_083")</f>
        <v>PRV_INFVT_083</v>
      </c>
      <c r="C84" t="s">
        <v>83</v>
      </c>
      <c r="D84" t="s">
        <v>100</v>
      </c>
      <c r="E84" t="s">
        <v>302</v>
      </c>
      <c r="F84" t="s">
        <v>303</v>
      </c>
      <c r="G84" t="str">
        <f>HYPERLINK("https://www.google.com/maps/search/?api=1&amp;query=Cerro%20la%20Atalaya%20334%2C%20Chulavista%2C%2045645%20Tlajomulco%20de%20Zuniga%2C%20Jal.";"Cerro la Atalaya 334, Chulavista, 45645 Tlajomulco de Zuniga, Jal.")</f>
        <v>Cerro la Atalaya 334, Chulavista, 45645 Tlajomulco de Zuniga, Jal.</v>
      </c>
      <c r="H84" t="s">
        <v>49</v>
      </c>
      <c r="I84" t="s">
        <v>50</v>
      </c>
      <c r="J84" t="s">
        <v>51</v>
      </c>
      <c r="K84" t="s">
        <v>31</v>
      </c>
      <c r="L84" t="s">
        <v>32</v>
      </c>
      <c r="M84" t="s">
        <v>94</v>
      </c>
      <c r="N84" s="1">
        <v>46144</v>
      </c>
      <c r="P84" s="1">
        <v>46158</v>
      </c>
      <c r="Q84" s="2">
        <v>31500.81</v>
      </c>
      <c r="R84" t="b">
        <v>0</v>
      </c>
      <c r="S84" s="2">
        <v>40000</v>
      </c>
      <c r="T84">
        <v>7644.96</v>
      </c>
      <c r="U84" t="s">
        <v>72</v>
      </c>
      <c r="V84" t="s">
        <v>304</v>
      </c>
      <c r="W84" t="s">
        <v>305</v>
      </c>
      <c r="X84">
        <f>Q84*1.16</f>
      </c>
    </row>
    <row r="85">
      <c r="A85" t="str">
        <f>B85</f>
        <v>PIC_TLAJO_084</v>
      </c>
      <c r="B85" t="str">
        <f>HYPERLINK("https://drive.google.com/drive/folders/14ehaPRMMpuDFnVsU9h2grkMFBcyS5ymn";"PIC_TLAJO_084")</f>
        <v>PIC_TLAJO_084</v>
      </c>
      <c r="C85" t="s">
        <v>24</v>
      </c>
      <c r="D85" t="s">
        <v>25</v>
      </c>
      <c r="E85" t="s">
        <v>306</v>
      </c>
      <c r="F85" t="s">
        <v>307</v>
      </c>
      <c r="G85" t="str">
        <f>HYPERLINK("https://www.google.com/maps/search/?api=1&amp;query=Monte%20Cabra%20371%2C%20LOMAS%2C%2045640%20Tlajomulco%20de%20Zuniga%2C%20Jal.";"Monte Cabra 371, LOMAS, 45640 Tlajomulco de Zuniga, Jal.")</f>
        <v>Monte Cabra 371, LOMAS, 45640 Tlajomulco de Zuniga, Jal.</v>
      </c>
      <c r="H85" t="s">
        <v>58</v>
      </c>
      <c r="I85" t="s">
        <v>59</v>
      </c>
      <c r="J85" t="s">
        <v>60</v>
      </c>
      <c r="K85" t="s">
        <v>31</v>
      </c>
      <c r="L85" t="s">
        <v>32</v>
      </c>
      <c r="M85" t="s">
        <v>99</v>
      </c>
      <c r="N85" s="1">
        <v>46176</v>
      </c>
      <c r="O85" s="1">
        <v>46204</v>
      </c>
      <c r="P85" s="1">
        <v>46191</v>
      </c>
      <c r="Q85" s="2">
        <v>20718.84</v>
      </c>
      <c r="R85" t="b">
        <v>0</v>
      </c>
      <c r="S85" s="2">
        <v>40000</v>
      </c>
      <c r="T85">
        <v>1855.61</v>
      </c>
      <c r="U85" t="s">
        <v>78</v>
      </c>
      <c r="X85">
        <f>Q85*1.16</f>
      </c>
    </row>
    <row r="86">
      <c r="A86" t="str">
        <f>B86</f>
        <v>PIC_TLAJO_085</v>
      </c>
      <c r="B86" t="str">
        <f>HYPERLINK("https://drive.google.com/drive/folders/16tkqYVCoXEjXWwmXk4fgmj4qxtukByNF";"PIC_TLAJO_085")</f>
        <v>PIC_TLAJO_085</v>
      </c>
      <c r="C86" t="s">
        <v>24</v>
      </c>
      <c r="D86" t="s">
        <v>25</v>
      </c>
      <c r="E86" t="s">
        <v>308</v>
      </c>
      <c r="F86" t="s">
        <v>309</v>
      </c>
      <c r="G86" t="str">
        <f>HYPERLINK("https://www.google.com/maps/search/?api=1&amp;query=Cerro%20de%20las%207%20Gotas%20408%2C%20Lomas%20del%20Sur%2C%2045653%20Tlajomulco%20de%20Zuniga%2C%20Jal.";"Cerro de las 7 Gotas 408, Lomas del Sur, 45653 Tlajomulco de Zuniga, Jal.")</f>
        <v>Cerro de las 7 Gotas 408, Lomas del Sur, 45653 Tlajomulco de Zuniga, Jal.</v>
      </c>
      <c r="H86" t="s">
        <v>28</v>
      </c>
      <c r="I86" t="s">
        <v>65</v>
      </c>
      <c r="J86" t="s">
        <v>30</v>
      </c>
      <c r="K86" t="s">
        <v>31</v>
      </c>
      <c r="L86" t="s">
        <v>32</v>
      </c>
      <c r="M86" t="s">
        <v>33</v>
      </c>
      <c r="N86" s="1">
        <v>46026</v>
      </c>
      <c r="O86" s="1">
        <v>46055</v>
      </c>
      <c r="P86" s="1">
        <v>46042</v>
      </c>
      <c r="Q86" s="2">
        <v>18298.04</v>
      </c>
      <c r="R86" t="b">
        <v>0</v>
      </c>
      <c r="S86" s="2">
        <v>40000</v>
      </c>
      <c r="T86" t="s">
        <v>34</v>
      </c>
      <c r="U86" t="s">
        <v>35</v>
      </c>
      <c r="V86" t="s">
        <v>310</v>
      </c>
      <c r="W86" t="s">
        <v>311</v>
      </c>
      <c r="X86">
        <f>Q86*1.16</f>
      </c>
    </row>
    <row r="87">
      <c r="A87" t="str">
        <f>B87</f>
        <v>PRV_INFVT_086</v>
      </c>
      <c r="B87" t="str">
        <f>HYPERLINK("https://drive.google.com/drive/folders/1kAt6NWERLcuArGaGThz17aZFMGsVU66o?usp=drive_link";"PRV_INFVT_086")</f>
        <v>PRV_INFVT_086</v>
      </c>
      <c r="C87" t="s">
        <v>83</v>
      </c>
      <c r="D87" t="s">
        <v>152</v>
      </c>
      <c r="E87" t="s">
        <v>312</v>
      </c>
      <c r="F87" t="s">
        <v>313</v>
      </c>
      <c r="G87" t="str">
        <f>HYPERLINK("https://www.google.com/maps/search/?api=1&amp;query=Esteli%20445%2C%20Los%20Amiales%2C%2045654%20Tlajomulco%20de%20Zuniga%2C%20Jal.";"Esteli 445, Los Amiales, 45654 Tlajomulco de Zuniga, Jal.")</f>
        <v>Esteli 445, Los Amiales, 45654 Tlajomulco de Zuniga, Jal.</v>
      </c>
      <c r="H87" t="s">
        <v>42</v>
      </c>
      <c r="I87" t="s">
        <v>70</v>
      </c>
      <c r="J87" t="s">
        <v>44</v>
      </c>
      <c r="K87" t="s">
        <v>31</v>
      </c>
      <c r="L87" t="s">
        <v>32</v>
      </c>
      <c r="M87" t="s">
        <v>45</v>
      </c>
      <c r="N87" s="1">
        <v>46058</v>
      </c>
      <c r="R87" t="b">
        <v>0</v>
      </c>
      <c r="S87" s="2">
        <v>40000</v>
      </c>
      <c r="T87">
        <v>8229.3</v>
      </c>
      <c r="U87" t="s">
        <v>46</v>
      </c>
      <c r="X87">
        <f>Q87*1.16</f>
      </c>
    </row>
    <row r="88">
      <c r="A88" t="str">
        <f>B88</f>
        <v>PIC_TLAJO_087</v>
      </c>
      <c r="B88" t="str">
        <f>HYPERLINK("https://drive.google.com/drive/folders/1o4td6fQkWm59n6c0CUwLhq2TJQ1udHhe";"PIC_TLAJO_087")</f>
        <v>PIC_TLAJO_087</v>
      </c>
      <c r="C88" t="s">
        <v>24</v>
      </c>
      <c r="D88" t="s">
        <v>25</v>
      </c>
      <c r="E88" t="s">
        <v>314</v>
      </c>
      <c r="F88" t="s">
        <v>315</v>
      </c>
      <c r="G88" t="str">
        <f>HYPERLINK("https://www.google.com/maps/search/?api=1&amp;query=Montevideo%20482%2C%20Villas%20de%20la%20Hacienda%2C%2045645%20Tlajomulco%20de%20Zuniga%2C%20Jal.";"Montevideo 482, Villas de la Hacienda, 45645 Tlajomulco de Zuniga, Jal.")</f>
        <v>Montevideo 482, Villas de la Hacienda, 45645 Tlajomulco de Zuniga, Jal.</v>
      </c>
      <c r="H88" t="s">
        <v>49</v>
      </c>
      <c r="I88" t="s">
        <v>76</v>
      </c>
      <c r="J88" t="s">
        <v>51</v>
      </c>
      <c r="K88" t="s">
        <v>31</v>
      </c>
      <c r="L88" t="s">
        <v>32</v>
      </c>
      <c r="M88" t="s">
        <v>52</v>
      </c>
      <c r="N88" s="1">
        <v>46087</v>
      </c>
      <c r="O88" s="1">
        <v>46118</v>
      </c>
      <c r="P88" s="1">
        <v>46105</v>
      </c>
      <c r="Q88" s="2">
        <v>34123.68</v>
      </c>
      <c r="R88" t="b">
        <v>0</v>
      </c>
      <c r="S88" s="2">
        <v>40000</v>
      </c>
      <c r="T88">
        <v>5913.22</v>
      </c>
      <c r="U88" t="s">
        <v>53</v>
      </c>
      <c r="W88" t="s">
        <v>316</v>
      </c>
      <c r="X88">
        <f>Q88*1.16</f>
      </c>
    </row>
    <row r="89">
      <c r="A89" t="str">
        <f>B89</f>
        <v>BNC_HSBC_088</v>
      </c>
      <c r="B89" t="str">
        <f>HYPERLINK("https://drive.google.com/drive/folders/1qtCo1xRRUvzMAnyiZKphf77aMzrnDcw2";"BNC_HSBC_088")</f>
        <v>BNC_HSBC_088</v>
      </c>
      <c r="C89" t="s">
        <v>38</v>
      </c>
      <c r="D89" t="s">
        <v>100</v>
      </c>
      <c r="E89" t="s">
        <v>317</v>
      </c>
      <c r="F89" t="s">
        <v>318</v>
      </c>
      <c r="G89" t="str">
        <f>HYPERLINK("https://www.google.com/maps/search/?api=1&amp;query=Av.%20Bogota%20119%2C%20El%20Palomar%2C%2045640%20Tlajomulco%20de%20Zuniga%2C%20Jal.";"Av. Bogota 119, El Palomar, 45640 Tlajomulco de Zuniga, Jal.")</f>
        <v>Av. Bogota 119, El Palomar, 45640 Tlajomulco de Zuniga, Jal.</v>
      </c>
      <c r="H89" t="s">
        <v>58</v>
      </c>
      <c r="I89" t="s">
        <v>81</v>
      </c>
      <c r="J89" t="s">
        <v>60</v>
      </c>
      <c r="K89" t="s">
        <v>31</v>
      </c>
      <c r="L89" t="s">
        <v>32</v>
      </c>
      <c r="M89" t="s">
        <v>61</v>
      </c>
      <c r="N89" s="1">
        <v>46119</v>
      </c>
      <c r="O89" s="1">
        <v>46151</v>
      </c>
      <c r="P89" s="1">
        <v>46138</v>
      </c>
      <c r="Q89" s="2">
        <v>35910.17</v>
      </c>
      <c r="R89" t="b">
        <v>0</v>
      </c>
      <c r="S89" s="2">
        <v>40000</v>
      </c>
      <c r="T89">
        <v>7657.97</v>
      </c>
      <c r="U89" t="s">
        <v>62</v>
      </c>
      <c r="V89" t="s">
        <v>319</v>
      </c>
      <c r="X89">
        <f>Q89*1.16</f>
      </c>
    </row>
    <row r="90">
      <c r="A90" t="str">
        <f>B90</f>
        <v>PIC_TLAJO_089</v>
      </c>
      <c r="B90" t="str">
        <f>HYPERLINK("https://drive.google.com/drive/folders/10tgpYarG84yXsVuw8p13CXujSR8o8SUK";"PIC_TLAJO_089")</f>
        <v>PIC_TLAJO_089</v>
      </c>
      <c r="C90" t="s">
        <v>24</v>
      </c>
      <c r="D90" t="s">
        <v>25</v>
      </c>
      <c r="E90" t="s">
        <v>320</v>
      </c>
      <c r="F90" t="s">
        <v>321</v>
      </c>
      <c r="G90" t="str">
        <f>HYPERLINK("https://www.google.com/maps/search/?api=1&amp;query=Blvd.%20Republica%20de%20Honduras%20156%2C%20Santa%20Fe%2C%2045653%20Tlajomulco%20de%20Zuniga%2C%20Jal.";"Blvd. Republica de Honduras 156, Santa Fe, 45653 Tlajomulco de Zuniga, Jal.")</f>
        <v>Blvd. Republica de Honduras 156, Santa Fe, 45653 Tlajomulco de Zuniga, Jal.</v>
      </c>
      <c r="H90" t="s">
        <v>28</v>
      </c>
      <c r="I90" t="s">
        <v>29</v>
      </c>
      <c r="J90" t="s">
        <v>30</v>
      </c>
      <c r="K90" t="s">
        <v>31</v>
      </c>
      <c r="L90" t="s">
        <v>32</v>
      </c>
      <c r="M90" t="s">
        <v>66</v>
      </c>
      <c r="N90" s="1">
        <v>46150</v>
      </c>
      <c r="O90" s="1">
        <v>46183</v>
      </c>
      <c r="P90" s="1">
        <v>46170</v>
      </c>
      <c r="Q90" s="2">
        <v>22057.48</v>
      </c>
      <c r="R90" t="b">
        <v>0</v>
      </c>
      <c r="S90" s="2">
        <v>40000</v>
      </c>
      <c r="T90" t="s">
        <v>34</v>
      </c>
      <c r="U90" t="s">
        <v>67</v>
      </c>
      <c r="V90" t="s">
        <v>322</v>
      </c>
      <c r="W90" t="s">
        <v>323</v>
      </c>
      <c r="X90">
        <f>Q90*1.16</f>
      </c>
    </row>
    <row r="91">
      <c r="A91" t="str">
        <f>B91</f>
        <v>PIC_TLAJO_090</v>
      </c>
      <c r="B91" t="str">
        <f>HYPERLINK("https://drive.google.com/drive/folders/1K00YFtKbHNCF4GcsWQQbiHxhv4g87mva";"PIC_TLAJO_090")</f>
        <v>PIC_TLAJO_090</v>
      </c>
      <c r="C91" t="s">
        <v>24</v>
      </c>
      <c r="D91" t="s">
        <v>55</v>
      </c>
      <c r="E91" t="s">
        <v>324</v>
      </c>
      <c r="F91" t="s">
        <v>325</v>
      </c>
      <c r="G91" t="str">
        <f>HYPERLINK("https://www.google.com/maps/search/?api=1&amp;query=Paseo%20de%20los%20Agaves%20193%2C%20Hacienda%20Santa%20Fe%2C%2045654%20Tlajomulco%20de%20Zuniga%2C%20Jal.";"Paseo de los Agaves 193, Hacienda Santa Fe, 45654 Tlajomulco de Zuniga, Jal.")</f>
        <v>Paseo de los Agaves 193, Hacienda Santa Fe, 45654 Tlajomulco de Zuniga, Jal.</v>
      </c>
      <c r="H91" t="s">
        <v>42</v>
      </c>
      <c r="I91" t="s">
        <v>43</v>
      </c>
      <c r="J91" t="s">
        <v>44</v>
      </c>
      <c r="K91" t="s">
        <v>31</v>
      </c>
      <c r="L91" t="s">
        <v>32</v>
      </c>
      <c r="M91" t="s">
        <v>71</v>
      </c>
      <c r="N91" s="1">
        <v>46182</v>
      </c>
      <c r="R91" t="b">
        <v>0</v>
      </c>
      <c r="S91" s="2">
        <v>40000</v>
      </c>
      <c r="T91">
        <v>2678.08</v>
      </c>
      <c r="U91" t="s">
        <v>72</v>
      </c>
      <c r="X91">
        <f>Q91*1.16</f>
      </c>
    </row>
    <row r="92">
      <c r="A92" t="str">
        <f>B92</f>
        <v>PIC_TLAJO_091</v>
      </c>
      <c r="B92" t="str">
        <f>HYPERLINK("https://drive.google.com/drive/folders/1qXKFZd7hsDKVByz0qE54KaG41963Phr0?usp=drive_link";"PIC_TLAJO_091")</f>
        <v>PIC_TLAJO_091</v>
      </c>
      <c r="C92" t="s">
        <v>24</v>
      </c>
      <c r="D92" t="s">
        <v>100</v>
      </c>
      <c r="E92" t="s">
        <v>326</v>
      </c>
      <c r="F92" t="s">
        <v>327</v>
      </c>
      <c r="G92" t="str">
        <f>HYPERLINK("https://www.google.com/maps/search/?api=1&amp;query=Volcan%20Paricutin%20230%2C%20Chulavista%2C%2045645%20Tlajomulco%20de%20Zuniga%2C%20Jal.";"Volcan Paricutin 230, Chulavista, 45645 Tlajomulco de Zuniga, Jal.")</f>
        <v>Volcan Paricutin 230, Chulavista, 45645 Tlajomulco de Zuniga, Jal.</v>
      </c>
      <c r="H92" t="s">
        <v>49</v>
      </c>
      <c r="I92" t="s">
        <v>50</v>
      </c>
      <c r="J92" t="s">
        <v>51</v>
      </c>
      <c r="K92" t="s">
        <v>31</v>
      </c>
      <c r="L92" t="s">
        <v>32</v>
      </c>
      <c r="M92" t="s">
        <v>77</v>
      </c>
      <c r="N92" s="1">
        <v>46032</v>
      </c>
      <c r="O92" s="1">
        <v>46067</v>
      </c>
      <c r="P92" s="1">
        <v>46054</v>
      </c>
      <c r="Q92" s="2">
        <v>21022.74</v>
      </c>
      <c r="R92" t="b">
        <v>1</v>
      </c>
      <c r="S92" s="2">
        <v>80000</v>
      </c>
      <c r="T92">
        <v>1241.28</v>
      </c>
      <c r="U92" t="s">
        <v>78</v>
      </c>
      <c r="V92" t="s">
        <v>328</v>
      </c>
      <c r="W92" t="s">
        <v>329</v>
      </c>
      <c r="X92">
        <f>Q92*1.16</f>
      </c>
    </row>
    <row r="93">
      <c r="A93" t="str">
        <f>B93</f>
        <v>BNC_HSBC_092</v>
      </c>
      <c r="B93" t="str">
        <f>HYPERLINK("https://drive.google.com/drive/folders/1MgYc1KowKkhxyhSWmZ8gJ1Q8oAUPUmmi";"BNC_HSBC_092")</f>
        <v>BNC_HSBC_092</v>
      </c>
      <c r="C93" t="s">
        <v>38</v>
      </c>
      <c r="D93" t="s">
        <v>39</v>
      </c>
      <c r="E93" t="s">
        <v>330</v>
      </c>
      <c r="F93" t="s">
        <v>331</v>
      </c>
      <c r="G93" t="str">
        <f>HYPERLINK("https://www.google.com/maps/search/?api=1&amp;query=Loma%20Dorada%20267%2C%20LOMAS%2C%2045640%20Tlajomulco%20de%20Zuniga%2C%20Jal.";"Loma Dorada 267, LOMAS, 45640 Tlajomulco de Zuniga, Jal.")</f>
        <v>Loma Dorada 267, LOMAS, 45640 Tlajomulco de Zuniga, Jal.</v>
      </c>
      <c r="H93" t="s">
        <v>58</v>
      </c>
      <c r="I93" t="s">
        <v>59</v>
      </c>
      <c r="J93" t="s">
        <v>60</v>
      </c>
      <c r="K93" t="s">
        <v>31</v>
      </c>
      <c r="L93" t="s">
        <v>32</v>
      </c>
      <c r="M93" t="s">
        <v>82</v>
      </c>
      <c r="N93" s="1">
        <v>46064</v>
      </c>
      <c r="R93" t="b">
        <v>0</v>
      </c>
      <c r="S93" s="2">
        <v>40000</v>
      </c>
      <c r="T93">
        <v>7275.25</v>
      </c>
      <c r="U93" t="s">
        <v>35</v>
      </c>
      <c r="X93">
        <f>Q93*1.16</f>
      </c>
    </row>
    <row r="94">
      <c r="A94" t="str">
        <f>B94</f>
        <v>BNC_HSBC_093</v>
      </c>
      <c r="B94" t="str">
        <f>HYPERLINK("https://drive.google.com/drive/folders/137M70QGES9gHpZW4EpiTy0UVCr5wDcKB";"BNC_HSBC_093")</f>
        <v>BNC_HSBC_093</v>
      </c>
      <c r="C94" t="s">
        <v>38</v>
      </c>
      <c r="D94" t="s">
        <v>55</v>
      </c>
      <c r="E94" t="s">
        <v>332</v>
      </c>
      <c r="F94" t="s">
        <v>333</v>
      </c>
      <c r="G94" t="str">
        <f>HYPERLINK("https://www.google.com/maps/search/?api=1&amp;query=Real%20de%20Minas%20304%2C%20Lomas%20del%20Sur%2C%2045653%20Tlajomulco%20de%20Zuniga%2C%20Jal.";"Real de Minas 304, Lomas del Sur, 45653 Tlajomulco de Zuniga, Jal.")</f>
        <v>Real de Minas 304, Lomas del Sur, 45653 Tlajomulco de Zuniga, Jal.</v>
      </c>
      <c r="H94" t="s">
        <v>28</v>
      </c>
      <c r="I94" t="s">
        <v>65</v>
      </c>
      <c r="J94" t="s">
        <v>30</v>
      </c>
      <c r="K94" t="s">
        <v>31</v>
      </c>
      <c r="L94" t="s">
        <v>32</v>
      </c>
      <c r="M94" t="s">
        <v>86</v>
      </c>
      <c r="N94" s="1">
        <v>46093</v>
      </c>
      <c r="R94" t="b">
        <v>0</v>
      </c>
      <c r="S94" s="2">
        <v>40000</v>
      </c>
      <c r="T94" t="s">
        <v>34</v>
      </c>
      <c r="U94" t="s">
        <v>46</v>
      </c>
      <c r="X94">
        <f>Q94*1.16</f>
      </c>
    </row>
    <row r="95">
      <c r="A95" t="str">
        <f>B95</f>
        <v>PIC_TLAJO_094</v>
      </c>
      <c r="B95" t="str">
        <f>HYPERLINK("https://drive.google.com/drive/folders/177XvPAA1nKn1WJBRhL42UtMZsisHA8kt";"PIC_TLAJO_094")</f>
        <v>PIC_TLAJO_094</v>
      </c>
      <c r="C95" t="s">
        <v>24</v>
      </c>
      <c r="D95" t="s">
        <v>25</v>
      </c>
      <c r="E95" t="s">
        <v>334</v>
      </c>
      <c r="F95" t="s">
        <v>335</v>
      </c>
      <c r="G95" t="str">
        <f>HYPERLINK("https://www.google.com/maps/search/?api=1&amp;query=Camino%20Real%20341%2C%20Los%20Amiales%2C%2045654%20Tlajomulco%20de%20Zuniga%2C%20Jal.";"Camino Real 341, Los Amiales, 45654 Tlajomulco de Zuniga, Jal.")</f>
        <v>Camino Real 341, Los Amiales, 45654 Tlajomulco de Zuniga, Jal.</v>
      </c>
      <c r="H95" t="s">
        <v>42</v>
      </c>
      <c r="I95" t="s">
        <v>70</v>
      </c>
      <c r="J95" t="s">
        <v>44</v>
      </c>
      <c r="K95" t="s">
        <v>31</v>
      </c>
      <c r="L95" t="s">
        <v>32</v>
      </c>
      <c r="M95" t="s">
        <v>89</v>
      </c>
      <c r="N95" s="1">
        <v>46125</v>
      </c>
      <c r="P95" s="1">
        <v>46150</v>
      </c>
      <c r="Q95" s="2">
        <v>34487.76</v>
      </c>
      <c r="R95" t="b">
        <v>0</v>
      </c>
      <c r="S95" s="2">
        <v>40000</v>
      </c>
      <c r="T95">
        <v>4010.99</v>
      </c>
      <c r="U95" t="s">
        <v>53</v>
      </c>
      <c r="V95" t="s">
        <v>336</v>
      </c>
      <c r="W95" t="s">
        <v>337</v>
      </c>
      <c r="X95">
        <f>Q95*1.16</f>
      </c>
    </row>
    <row r="96">
      <c r="A96" t="str">
        <f>B96</f>
        <v>PRV_INFVT_095</v>
      </c>
      <c r="B96" t="str">
        <f>HYPERLINK("https://drive.google.com/drive/folders/1EPn4cChksHbC8T1pEibjtaWAGiukhJRQ";"PRV_INFVT_095")</f>
        <v>PRV_INFVT_095</v>
      </c>
      <c r="C96" t="s">
        <v>83</v>
      </c>
      <c r="D96" t="s">
        <v>55</v>
      </c>
      <c r="E96" t="s">
        <v>338</v>
      </c>
      <c r="F96" t="s">
        <v>339</v>
      </c>
      <c r="G96" t="str">
        <f>HYPERLINK("https://www.google.com/maps/search/?api=1&amp;query=Rinconada%20del%20Sol%20378%2C%20Villas%20de%20la%20Hacienda%2C%2045645%20Tlajomulco%20de%20Zuniga%2C%20Jal.";"Rinconada del Sol 378, Villas de la Hacienda, 45645 Tlajomulco de Zuniga, Jal.")</f>
        <v>Rinconada del Sol 378, Villas de la Hacienda, 45645 Tlajomulco de Zuniga, Jal.</v>
      </c>
      <c r="H96" t="s">
        <v>49</v>
      </c>
      <c r="I96" t="s">
        <v>76</v>
      </c>
      <c r="J96" t="s">
        <v>51</v>
      </c>
      <c r="K96" t="s">
        <v>31</v>
      </c>
      <c r="L96" t="s">
        <v>32</v>
      </c>
      <c r="M96" t="s">
        <v>94</v>
      </c>
      <c r="N96" s="1">
        <v>46156</v>
      </c>
      <c r="R96" t="b">
        <v>0</v>
      </c>
      <c r="S96" s="2">
        <v>40000</v>
      </c>
      <c r="T96">
        <v>3263.42</v>
      </c>
      <c r="U96" t="s">
        <v>62</v>
      </c>
      <c r="X96">
        <f>Q96*1.16</f>
      </c>
    </row>
    <row r="97">
      <c r="A97" t="str">
        <f>B97</f>
        <v>PRV_INFVT_096</v>
      </c>
      <c r="B97" t="str">
        <f>HYPERLINK("https://drive.google.com/drive/folders/1nAgaPaoUEPU7WhXzunnZqcxmkT4JTfjG?usp=drive_link";"PRV_INFVT_096")</f>
        <v>PRV_INFVT_096</v>
      </c>
      <c r="C97" t="s">
        <v>83</v>
      </c>
      <c r="D97" t="s">
        <v>100</v>
      </c>
      <c r="E97" t="s">
        <v>340</v>
      </c>
      <c r="F97" t="s">
        <v>341</v>
      </c>
      <c r="G97" t="str">
        <f>HYPERLINK("https://www.google.com/maps/search/?api=1&amp;query=Hacienda%20Vieja%20415%2C%20El%20Palomar%2C%2045640%20Tlajomulco%20de%20Zuniga%2C%20Jal.";"Hacienda Vieja 415, El Palomar, 45640 Tlajomulco de Zuniga, Jal.")</f>
        <v>Hacienda Vieja 415, El Palomar, 45640 Tlajomulco de Zuniga, Jal.</v>
      </c>
      <c r="H97" t="s">
        <v>58</v>
      </c>
      <c r="I97" t="s">
        <v>81</v>
      </c>
      <c r="J97" t="s">
        <v>60</v>
      </c>
      <c r="K97" t="s">
        <v>31</v>
      </c>
      <c r="L97" t="s">
        <v>32</v>
      </c>
      <c r="M97" t="s">
        <v>99</v>
      </c>
      <c r="N97" s="1">
        <v>46188</v>
      </c>
      <c r="O97" s="1">
        <v>46228</v>
      </c>
      <c r="P97" s="1">
        <v>46215</v>
      </c>
      <c r="Q97" s="2">
        <v>20150.06</v>
      </c>
      <c r="R97" t="b">
        <v>0</v>
      </c>
      <c r="S97" s="2">
        <v>40000</v>
      </c>
      <c r="T97">
        <v>2968.2</v>
      </c>
      <c r="U97" t="s">
        <v>67</v>
      </c>
      <c r="X97">
        <f>Q97*1.16</f>
      </c>
    </row>
    <row r="98">
      <c r="A98" t="str">
        <f>B98</f>
        <v>PIC_TLAJO_097</v>
      </c>
      <c r="B98" t="str">
        <f>HYPERLINK("https://drive.google.com/drive/folders/141zoSTY9SrxTN0HeWGtgvFnia56LMNj4";"PIC_TLAJO_097")</f>
        <v>PIC_TLAJO_097</v>
      </c>
      <c r="C98" t="s">
        <v>24</v>
      </c>
      <c r="D98" t="s">
        <v>25</v>
      </c>
      <c r="E98" t="s">
        <v>342</v>
      </c>
      <c r="F98" t="s">
        <v>343</v>
      </c>
      <c r="G98" t="str">
        <f>HYPERLINK("https://www.google.com/maps/search/?api=1&amp;query=Portal%20de%20San%20Juan%20452%2C%20Santa%20Fe%2C%2045653%20Tlajomulco%20de%20Zuniga%2C%20Jal.";"Portal de San Juan 452, Santa Fe, 45653 Tlajomulco de Zuniga, Jal.")</f>
        <v>Portal de San Juan 452, Santa Fe, 45653 Tlajomulco de Zuniga, Jal.</v>
      </c>
      <c r="H98" t="s">
        <v>28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s="1">
        <v>46038</v>
      </c>
      <c r="O98" s="1">
        <v>46079</v>
      </c>
      <c r="P98" s="1">
        <v>46066</v>
      </c>
      <c r="Q98" s="2">
        <v>33330.07</v>
      </c>
      <c r="R98" t="b">
        <v>0</v>
      </c>
      <c r="S98" s="2">
        <v>40000</v>
      </c>
      <c r="T98" t="s">
        <v>34</v>
      </c>
      <c r="U98" t="s">
        <v>72</v>
      </c>
      <c r="V98" t="s">
        <v>344</v>
      </c>
      <c r="W98" t="s">
        <v>345</v>
      </c>
      <c r="X98">
        <f>Q98*1.16</f>
      </c>
    </row>
    <row r="99">
      <c r="A99" t="str">
        <f>B99</f>
        <v>PIC_TLAJO_098</v>
      </c>
      <c r="B99" t="str">
        <f>HYPERLINK("https://drive.google.com/drive/folders/1YfcGYKPkNCX4mB2tF0jL42jwaqTE9FEH";"PIC_TLAJO_098")</f>
        <v>PIC_TLAJO_098</v>
      </c>
      <c r="C99" t="s">
        <v>24</v>
      </c>
      <c r="D99" t="s">
        <v>25</v>
      </c>
      <c r="E99" t="s">
        <v>346</v>
      </c>
      <c r="F99" t="s">
        <v>347</v>
      </c>
      <c r="G99" t="str">
        <f>HYPERLINK("https://www.google.com/maps/search/?api=1&amp;query=Valle%20de%20Toluca%20489%2C%20Hacienda%20Santa%20Fe%2C%2045654%20Tlajomulco%20de%20Zuniga%2C%20Jal.";"Valle de Toluca 489, Hacienda Santa Fe, 45654 Tlajomulco de Zuniga, Jal.")</f>
        <v>Valle de Toluca 489, Hacienda Santa Fe, 45654 Tlajomulco de Zuniga, Jal.</v>
      </c>
      <c r="H99" t="s">
        <v>42</v>
      </c>
      <c r="I99" t="s">
        <v>43</v>
      </c>
      <c r="J99" t="s">
        <v>44</v>
      </c>
      <c r="K99" t="s">
        <v>31</v>
      </c>
      <c r="L99" t="s">
        <v>32</v>
      </c>
      <c r="M99" t="s">
        <v>45</v>
      </c>
      <c r="N99" s="1">
        <v>46070</v>
      </c>
      <c r="O99" s="1">
        <v>46112</v>
      </c>
      <c r="P99" s="1">
        <v>46099</v>
      </c>
      <c r="Q99" s="2">
        <v>15468.57</v>
      </c>
      <c r="R99" t="b">
        <v>0</v>
      </c>
      <c r="S99" s="2">
        <v>40000</v>
      </c>
      <c r="T99">
        <v>3866.74</v>
      </c>
      <c r="U99" t="s">
        <v>78</v>
      </c>
      <c r="V99" t="s">
        <v>348</v>
      </c>
      <c r="W99" t="s">
        <v>349</v>
      </c>
      <c r="X99">
        <f>Q99*1.16</f>
      </c>
    </row>
    <row r="100">
      <c r="A100" t="str">
        <f>B100</f>
        <v>PIC_TLAJO_099</v>
      </c>
      <c r="B100" t="str">
        <f>HYPERLINK("https://drive.google.com/drive/folders/1k1eHQFo4Sp25LPFLzLS4u4iWLgEVwzRC";"PIC_TLAJO_099")</f>
        <v>PIC_TLAJO_099</v>
      </c>
      <c r="C100" t="s">
        <v>24</v>
      </c>
      <c r="D100" t="s">
        <v>39</v>
      </c>
      <c r="E100" t="s">
        <v>350</v>
      </c>
      <c r="F100" t="s">
        <v>351</v>
      </c>
      <c r="G100" t="str">
        <f>HYPERLINK("https://www.google.com/maps/search/?api=1&amp;query=Cerro%20Gordo%20126%2C%20Chulavista%2C%2045645%20Tlajomulco%20de%20Zuniga%2C%20Jal.";"Cerro Gordo 126, Chulavista, 45645 Tlajomulco de Zuniga, Jal.")</f>
        <v>Cerro Gordo 126, Chulavista, 45645 Tlajomulco de Zuniga, Jal.</v>
      </c>
      <c r="H100" t="s">
        <v>49</v>
      </c>
      <c r="I100" t="s">
        <v>50</v>
      </c>
      <c r="J100" t="s">
        <v>51</v>
      </c>
      <c r="K100" t="s">
        <v>31</v>
      </c>
      <c r="L100" t="s">
        <v>32</v>
      </c>
      <c r="M100" t="s">
        <v>52</v>
      </c>
      <c r="N100" s="1">
        <v>46099</v>
      </c>
      <c r="R100" t="b">
        <v>0</v>
      </c>
      <c r="S100" s="2">
        <v>40000</v>
      </c>
      <c r="T100">
        <v>3529.83</v>
      </c>
      <c r="U100" t="s">
        <v>35</v>
      </c>
      <c r="X100">
        <f>Q100*1.16</f>
      </c>
    </row>
    <row r="101">
      <c r="A101" t="str">
        <f>B101</f>
        <v>CART_SOJI_TLAJO_100</v>
      </c>
      <c r="B101" t="str">
        <f>HYPERLINK("https://drive.google.com/drive/folders/1j0VzgzY1QTHJHFKJASJd8UvM2Xc6KRUh";"CART_SOJI_TLAJO_100")</f>
        <v>CART_SOJI_TLAJO_100</v>
      </c>
      <c r="C101" t="s">
        <v>294</v>
      </c>
      <c r="D101" t="s">
        <v>128</v>
      </c>
      <c r="E101" t="s">
        <v>352</v>
      </c>
      <c r="F101" t="s">
        <v>353</v>
      </c>
      <c r="G101" t="str">
        <f>HYPERLINK("https://www.google.com/maps/search/?api=1&amp;query=Prado%20Sur%20163%2C%20LOMAS%2C%2045640%20Tlajomulco%20de%20Zuniga%2C%20Jal.";"Prado Sur 163, LOMAS, 45640 Tlajomulco de Zuniga, Jal.")</f>
        <v>Prado Sur 163, LOMAS, 45640 Tlajomulco de Zuniga, Jal.</v>
      </c>
      <c r="H101" t="s">
        <v>58</v>
      </c>
      <c r="I101" t="s">
        <v>59</v>
      </c>
      <c r="J101" t="s">
        <v>60</v>
      </c>
      <c r="K101" t="s">
        <v>31</v>
      </c>
      <c r="L101" t="s">
        <v>32</v>
      </c>
      <c r="M101" t="s">
        <v>61</v>
      </c>
      <c r="N101" s="1">
        <v>46131</v>
      </c>
      <c r="Q101" s="2">
        <v>21506.01</v>
      </c>
      <c r="R101" t="b">
        <v>1</v>
      </c>
      <c r="S101" s="2">
        <v>80000</v>
      </c>
      <c r="T101">
        <v>8464.79</v>
      </c>
      <c r="U101" t="s">
        <v>46</v>
      </c>
      <c r="X101">
        <f>Q101*1.16</f>
      </c>
    </row>
    <row r="102">
      <c r="A102" t="str">
        <f>B102</f>
        <v>PIC_TLAJO_101</v>
      </c>
      <c r="B102" t="str">
        <f>HYPERLINK("https://drive.google.com/drive/folders/1akquMKFSSgEjYJZXLGh8gM8G5L6kurQS?usp=drive_link";"PIC_TLAJO_101")</f>
        <v>PIC_TLAJO_101</v>
      </c>
      <c r="C102" t="s">
        <v>24</v>
      </c>
      <c r="D102" t="s">
        <v>25</v>
      </c>
      <c r="E102" t="s">
        <v>354</v>
      </c>
      <c r="F102" t="s">
        <v>355</v>
      </c>
      <c r="G102" t="str">
        <f>HYPERLINK("https://www.google.com/maps/search/?api=1&amp;query=Av.%20Temuco%20200%2C%20Lomas%20del%20Sur%2C%2045653%20Tlajomulco%20de%20Zuniga%2C%20Jal.";"Av. Temuco 200, Lomas del Sur, 45653 Tlajomulco de Zuniga, Jal.")</f>
        <v>Av. Temuco 200, Lomas del Sur, 45653 Tlajomulco de Zuniga, Jal.</v>
      </c>
      <c r="H102" t="s">
        <v>28</v>
      </c>
      <c r="I102" t="s">
        <v>65</v>
      </c>
      <c r="J102" t="s">
        <v>30</v>
      </c>
      <c r="K102" t="s">
        <v>31</v>
      </c>
      <c r="L102" t="s">
        <v>32</v>
      </c>
      <c r="M102" t="s">
        <v>66</v>
      </c>
      <c r="N102" s="1">
        <v>46162</v>
      </c>
      <c r="O102" s="1">
        <v>46207</v>
      </c>
      <c r="P102" s="1">
        <v>46174</v>
      </c>
      <c r="Q102" s="2">
        <v>26112.15</v>
      </c>
      <c r="R102" t="b">
        <v>0</v>
      </c>
      <c r="S102" s="2">
        <v>40000</v>
      </c>
      <c r="T102" t="s">
        <v>34</v>
      </c>
      <c r="U102" t="s">
        <v>53</v>
      </c>
      <c r="V102" t="s">
        <v>356</v>
      </c>
      <c r="W102" t="s">
        <v>357</v>
      </c>
      <c r="X102">
        <f>Q102*1.16</f>
      </c>
    </row>
    <row r="103">
      <c r="A103" t="str">
        <f>B103</f>
        <v>PIC_TLAJO_102</v>
      </c>
      <c r="B103" t="str">
        <f>HYPERLINK("https://drive.google.com/drive/folders/1XqRiMWJDjBcdQ2Lqzm2oGiMKd1YZpbgU";"PIC_TLAJO_102")</f>
        <v>PIC_TLAJO_102</v>
      </c>
      <c r="C103" t="s">
        <v>24</v>
      </c>
      <c r="D103" t="s">
        <v>240</v>
      </c>
      <c r="E103" t="s">
        <v>358</v>
      </c>
      <c r="F103" t="s">
        <v>359</v>
      </c>
      <c r="G103" t="str">
        <f>HYPERLINK("https://www.google.com/maps/search/?api=1&amp;query=Cerro%20de%20la%20Cruz%20237%2C%20Los%20Amiales%2C%2045654%20Tlajomulco%20de%20Zuniga%2C%20Jal.";"Cerro de la Cruz 237, Los Amiales, 45654 Tlajomulco de Zuniga, Jal.")</f>
        <v>Cerro de la Cruz 237, Los Amiales, 45654 Tlajomulco de Zuniga, Jal.</v>
      </c>
      <c r="H103" t="s">
        <v>42</v>
      </c>
      <c r="I103" t="s">
        <v>70</v>
      </c>
      <c r="J103" t="s">
        <v>44</v>
      </c>
      <c r="K103" t="s">
        <v>31</v>
      </c>
      <c r="L103" t="s">
        <v>32</v>
      </c>
      <c r="M103" t="s">
        <v>71</v>
      </c>
      <c r="N103" s="1">
        <v>46194</v>
      </c>
      <c r="R103" t="b">
        <v>0</v>
      </c>
      <c r="S103" s="2">
        <v>40000</v>
      </c>
      <c r="T103">
        <v>5213.17</v>
      </c>
      <c r="U103" t="s">
        <v>62</v>
      </c>
      <c r="X103">
        <f>Q103*1.16</f>
      </c>
    </row>
    <row r="104">
      <c r="A104" t="str">
        <f>B104</f>
        <v>BNC_HSBC_103</v>
      </c>
      <c r="B104" t="str">
        <f>HYPERLINK("https://drive.google.com/drive/folders/1zbKssDV9yYQFgrATvrsbLwyJo3apMb3w";"BNC_HSBC_103")</f>
        <v>BNC_HSBC_103</v>
      </c>
      <c r="C104" t="s">
        <v>38</v>
      </c>
      <c r="D104" t="s">
        <v>39</v>
      </c>
      <c r="E104" t="s">
        <v>360</v>
      </c>
      <c r="F104" t="s">
        <v>361</v>
      </c>
      <c r="G104" t="str">
        <f>HYPERLINK("https://www.google.com/maps/search/?api=1&amp;query=Cerro%20la%20Atalaya%20274%2C%20Villas%20de%20la%20Hacienda%2C%2045645%20Tlajomulco%20de%20Zuniga%2C%20Jal.";"Cerro la Atalaya 274, Villas de la Hacienda, 45645 Tlajomulco de Zuniga, Jal.")</f>
        <v>Cerro la Atalaya 274, Villas de la Hacienda, 45645 Tlajomulco de Zuniga, Jal.</v>
      </c>
      <c r="H104" t="s">
        <v>49</v>
      </c>
      <c r="I104" t="s">
        <v>76</v>
      </c>
      <c r="J104" t="s">
        <v>51</v>
      </c>
      <c r="K104" t="s">
        <v>31</v>
      </c>
      <c r="L104" t="s">
        <v>32</v>
      </c>
      <c r="M104" t="s">
        <v>77</v>
      </c>
      <c r="N104" s="1">
        <v>46044</v>
      </c>
      <c r="Q104" s="2">
        <v>27620.56</v>
      </c>
      <c r="R104" t="b">
        <v>0</v>
      </c>
      <c r="S104" s="2">
        <v>40000</v>
      </c>
      <c r="T104">
        <v>3822.81</v>
      </c>
      <c r="U104" t="s">
        <v>67</v>
      </c>
      <c r="X104">
        <f>Q104*1.16</f>
      </c>
    </row>
    <row r="105">
      <c r="A105" t="str">
        <f>B105</f>
        <v>PIC_TLAJO_104</v>
      </c>
      <c r="B105" t="str">
        <f>HYPERLINK("https://drive.google.com/drive/folders/103esNad0mx9ZDg3AH92YYny4E0ZF9Uih";"PIC_TLAJO_104")</f>
        <v>PIC_TLAJO_104</v>
      </c>
      <c r="C105" t="s">
        <v>24</v>
      </c>
      <c r="D105" t="s">
        <v>25</v>
      </c>
      <c r="E105" t="s">
        <v>362</v>
      </c>
      <c r="F105" t="s">
        <v>363</v>
      </c>
      <c r="G105" t="str">
        <f>HYPERLINK("https://www.google.com/maps/search/?api=1&amp;query=Monte%20Cabra%20311%2C%20El%20Palomar%2C%2045640%20Tlajomulco%20de%20Zuniga%2C%20Jal.";"Monte Cabra 311, El Palomar, 45640 Tlajomulco de Zuniga, Jal.")</f>
        <v>Monte Cabra 311, El Palomar, 45640 Tlajomulco de Zuniga, Jal.</v>
      </c>
      <c r="H105" t="s">
        <v>58</v>
      </c>
      <c r="I105" t="s">
        <v>81</v>
      </c>
      <c r="J105" t="s">
        <v>60</v>
      </c>
      <c r="K105" t="s">
        <v>31</v>
      </c>
      <c r="L105" t="s">
        <v>32</v>
      </c>
      <c r="M105" t="s">
        <v>82</v>
      </c>
      <c r="N105" s="1">
        <v>46076</v>
      </c>
      <c r="O105" s="1">
        <v>46124</v>
      </c>
      <c r="P105" s="1">
        <v>46091</v>
      </c>
      <c r="Q105" s="2">
        <v>30043.15</v>
      </c>
      <c r="R105" t="b">
        <v>0</v>
      </c>
      <c r="S105" s="2">
        <v>40000</v>
      </c>
      <c r="T105">
        <v>1974.54</v>
      </c>
      <c r="U105" t="s">
        <v>72</v>
      </c>
      <c r="V105" t="s">
        <v>364</v>
      </c>
      <c r="X105">
        <f>Q105*1.16</f>
      </c>
    </row>
    <row r="106">
      <c r="A106" t="str">
        <f>B106</f>
        <v>PIC_TLAJO_105</v>
      </c>
      <c r="B106" t="str">
        <f>HYPERLINK("https://drive.google.com/drive/folders/1YPL820sb16im006Aztp93X5KD7SxzgSv";"PIC_TLAJO_105")</f>
        <v>PIC_TLAJO_105</v>
      </c>
      <c r="C106" t="s">
        <v>24</v>
      </c>
      <c r="D106" t="s">
        <v>100</v>
      </c>
      <c r="E106" t="s">
        <v>365</v>
      </c>
      <c r="F106" t="s">
        <v>366</v>
      </c>
      <c r="G106" t="str">
        <f>HYPERLINK("https://www.google.com/maps/search/?api=1&amp;query=Cerro%20de%20las%207%20Gotas%20348%2C%20Santa%20Fe%2C%2045653%20Tlajomulco%20de%20Zuniga%2C%20Jal.";"Cerro de las 7 Gotas 348, Santa Fe, 45653 Tlajomulco de Zuniga, Jal.")</f>
        <v>Cerro de las 7 Gotas 348, Santa Fe, 45653 Tlajomulco de Zuniga, Jal.</v>
      </c>
      <c r="H106" t="s">
        <v>28</v>
      </c>
      <c r="I106" t="s">
        <v>29</v>
      </c>
      <c r="J106" t="s">
        <v>30</v>
      </c>
      <c r="K106" t="s">
        <v>31</v>
      </c>
      <c r="L106" t="s">
        <v>32</v>
      </c>
      <c r="M106" t="s">
        <v>86</v>
      </c>
      <c r="N106" s="1">
        <v>46105</v>
      </c>
      <c r="P106" s="1">
        <v>46121</v>
      </c>
      <c r="Q106" s="2">
        <v>27665.65</v>
      </c>
      <c r="R106" t="b">
        <v>0</v>
      </c>
      <c r="S106" s="2">
        <v>40000</v>
      </c>
      <c r="T106" t="s">
        <v>34</v>
      </c>
      <c r="U106" t="s">
        <v>78</v>
      </c>
      <c r="W106" t="s">
        <v>367</v>
      </c>
      <c r="X106">
        <f>Q106*1.16</f>
      </c>
    </row>
    <row r="107">
      <c r="A107" t="str">
        <f>B107</f>
        <v>PIC_TLAJO_106</v>
      </c>
      <c r="B107" t="str">
        <f>HYPERLINK("https://drive.google.com/drive/folders/1SKXSPefh9NEeADKf0D3yEJrkg8qXZ6gE?usp=drive_link";"PIC_TLAJO_106")</f>
        <v>PIC_TLAJO_106</v>
      </c>
      <c r="C107" t="s">
        <v>24</v>
      </c>
      <c r="D107" t="s">
        <v>55</v>
      </c>
      <c r="E107" t="s">
        <v>368</v>
      </c>
      <c r="F107" t="s">
        <v>369</v>
      </c>
      <c r="G107" t="str">
        <f>HYPERLINK("https://www.google.com/maps/search/?api=1&amp;query=Esteli%20385%2C%20Hacienda%20Santa%20Fe%2C%2045654%20Tlajomulco%20de%20Zuniga%2C%20Jal.";"Esteli 385, Hacienda Santa Fe, 45654 Tlajomulco de Zuniga, Jal.")</f>
        <v>Esteli 385, Hacienda Santa Fe, 45654 Tlajomulco de Zuniga, Jal.</v>
      </c>
      <c r="H107" t="s">
        <v>42</v>
      </c>
      <c r="I107" t="s">
        <v>43</v>
      </c>
      <c r="J107" t="s">
        <v>44</v>
      </c>
      <c r="K107" t="s">
        <v>31</v>
      </c>
      <c r="L107" t="s">
        <v>32</v>
      </c>
      <c r="M107" t="s">
        <v>89</v>
      </c>
      <c r="N107" s="1">
        <v>46137</v>
      </c>
      <c r="Q107" s="2">
        <v>31367.03</v>
      </c>
      <c r="R107" t="b">
        <v>0</v>
      </c>
      <c r="S107" s="2">
        <v>40000</v>
      </c>
      <c r="T107">
        <v>8105.53</v>
      </c>
      <c r="U107" t="s">
        <v>35</v>
      </c>
      <c r="X107">
        <f>Q107*1.16</f>
      </c>
    </row>
    <row r="108">
      <c r="A108" t="str">
        <f>B108</f>
        <v>PIC_TLAJO_107</v>
      </c>
      <c r="B108" t="str">
        <f>HYPERLINK("https://drive.google.com/drive/folders/1iQASDMwifvocgvUQ5b0YCSPav9iUSATm";"PIC_TLAJO_107")</f>
        <v>PIC_TLAJO_107</v>
      </c>
      <c r="C108" t="s">
        <v>24</v>
      </c>
      <c r="D108" t="s">
        <v>152</v>
      </c>
      <c r="E108" t="s">
        <v>370</v>
      </c>
      <c r="F108" t="s">
        <v>371</v>
      </c>
      <c r="G108" t="str">
        <f>HYPERLINK("https://www.google.com/maps/search/?api=1&amp;query=Montevideo%20422%2C%20Chulavista%2C%2045645%20Tlajomulco%20de%20Zuniga%2C%20Jal.";"Montevideo 422, Chulavista, 45645 Tlajomulco de Zuniga, Jal.")</f>
        <v>Montevideo 422, Chulavista, 45645 Tlajomulco de Zuniga, Jal.</v>
      </c>
      <c r="H108" t="s">
        <v>49</v>
      </c>
      <c r="I108" t="s">
        <v>50</v>
      </c>
      <c r="J108" t="s">
        <v>51</v>
      </c>
      <c r="K108" t="s">
        <v>31</v>
      </c>
      <c r="L108" t="s">
        <v>32</v>
      </c>
      <c r="M108" t="s">
        <v>94</v>
      </c>
      <c r="N108" s="1">
        <v>46168</v>
      </c>
      <c r="R108" t="b">
        <v>0</v>
      </c>
      <c r="S108" s="2">
        <v>40000</v>
      </c>
      <c r="T108">
        <v>1607.28</v>
      </c>
      <c r="U108" t="s">
        <v>46</v>
      </c>
      <c r="X108">
        <f>Q108*1.16</f>
      </c>
    </row>
    <row r="109">
      <c r="A109" t="str">
        <f>B109</f>
        <v>PIC_TLAJO_108</v>
      </c>
      <c r="B109" t="str">
        <f>HYPERLINK("https://drive.google.com/drive/folders/1Rto6qt74bzT3jMZrzUBarqRxHzLP5NFh";"PIC_TLAJO_108")</f>
        <v>PIC_TLAJO_108</v>
      </c>
      <c r="C109" t="s">
        <v>24</v>
      </c>
      <c r="D109" t="s">
        <v>25</v>
      </c>
      <c r="E109" t="s">
        <v>372</v>
      </c>
      <c r="F109" t="s">
        <v>373</v>
      </c>
      <c r="G109" t="str">
        <f>HYPERLINK("https://www.google.com/maps/search/?api=1&amp;query=Av.%20Bogota%20459%2C%20LOMAS%2C%2045640%20Tlajomulco%20de%20Zuniga%2C%20Jal.";"Av. Bogota 459, LOMAS, 45640 Tlajomulco de Zuniga, Jal.")</f>
        <v>Av. Bogota 459, LOMAS, 45640 Tlajomulco de Zuniga, Jal.</v>
      </c>
      <c r="H109" t="s">
        <v>58</v>
      </c>
      <c r="I109" t="s">
        <v>59</v>
      </c>
      <c r="J109" t="s">
        <v>60</v>
      </c>
      <c r="K109" t="s">
        <v>31</v>
      </c>
      <c r="L109" t="s">
        <v>32</v>
      </c>
      <c r="M109" t="s">
        <v>99</v>
      </c>
      <c r="N109" s="1">
        <v>46200</v>
      </c>
      <c r="O109" s="1">
        <v>46252</v>
      </c>
      <c r="P109" s="1">
        <v>46219</v>
      </c>
      <c r="Q109" s="2">
        <v>22682.17</v>
      </c>
      <c r="R109" t="b">
        <v>0</v>
      </c>
      <c r="S109" s="2">
        <v>40000</v>
      </c>
      <c r="T109">
        <v>3305.8</v>
      </c>
      <c r="U109" t="s">
        <v>53</v>
      </c>
      <c r="X109">
        <f>Q109*1.16</f>
      </c>
    </row>
    <row r="110">
      <c r="A110" t="str">
        <f>B110</f>
        <v>PIC_TLAJO_109</v>
      </c>
      <c r="B110" t="str">
        <f>HYPERLINK("https://drive.google.com/drive/folders/1g2MKnLBYtaD5CgUm6d2DujQ4NgwHSC6s";"PIC_TLAJO_109")</f>
        <v>PIC_TLAJO_109</v>
      </c>
      <c r="C110" t="s">
        <v>24</v>
      </c>
      <c r="D110" t="s">
        <v>25</v>
      </c>
      <c r="E110" t="s">
        <v>374</v>
      </c>
      <c r="F110" t="s">
        <v>375</v>
      </c>
      <c r="G110" t="str">
        <f>HYPERLINK("https://www.google.com/maps/search/?api=1&amp;query=Blvd.%20Republica%20de%20Honduras%20496%2C%20Lomas%20del%20Sur%2C%2045653%20Tlajomulco%20de%20Zuniga%2C%20Jal.";"Blvd. Republica de Honduras 496, Lomas del Sur, 45653 Tlajomulco de Zuniga, Jal.")</f>
        <v>Blvd. Republica de Honduras 496, Lomas del Sur, 45653 Tlajomulco de Zuniga, Jal.</v>
      </c>
      <c r="H110" t="s">
        <v>28</v>
      </c>
      <c r="I110" t="s">
        <v>65</v>
      </c>
      <c r="J110" t="s">
        <v>30</v>
      </c>
      <c r="K110" t="s">
        <v>31</v>
      </c>
      <c r="L110" t="s">
        <v>32</v>
      </c>
      <c r="M110" t="s">
        <v>33</v>
      </c>
      <c r="N110" s="1">
        <v>46023</v>
      </c>
      <c r="O110" s="1">
        <v>46076</v>
      </c>
      <c r="P110" s="1">
        <v>46043</v>
      </c>
      <c r="Q110" s="2">
        <v>26775.26</v>
      </c>
      <c r="R110" t="b">
        <v>1</v>
      </c>
      <c r="S110" s="2">
        <v>80000</v>
      </c>
      <c r="T110" t="s">
        <v>34</v>
      </c>
      <c r="U110" t="s">
        <v>62</v>
      </c>
      <c r="V110" t="s">
        <v>376</v>
      </c>
      <c r="W110" t="s">
        <v>377</v>
      </c>
      <c r="X110">
        <f>Q110*1.16</f>
      </c>
    </row>
    <row r="111">
      <c r="A111" t="str">
        <f>B111</f>
        <v>PIC_TLAJO_110</v>
      </c>
      <c r="B111" t="str">
        <f>HYPERLINK("https://drive.google.com/drive/folders/1Wt8fUsi99NW6DAaF7HkGgsPJd7e8v1Z9";"PIC_TLAJO_110")</f>
        <v>PIC_TLAJO_110</v>
      </c>
      <c r="C111" t="s">
        <v>24</v>
      </c>
      <c r="D111" t="s">
        <v>39</v>
      </c>
      <c r="E111" t="s">
        <v>378</v>
      </c>
      <c r="F111" t="s">
        <v>379</v>
      </c>
      <c r="G111" t="str">
        <f>HYPERLINK("https://www.google.com/maps/search/?api=1&amp;query=Paseo%20de%20los%20Agaves%20133%2C%20Los%20Amiales%2C%2045654%20Tlajomulco%20de%20Zuniga%2C%20Jal.";"Paseo de los Agaves 133, Los Amiales, 45654 Tlajomulco de Zuniga, Jal.")</f>
        <v>Paseo de los Agaves 133, Los Amiales, 45654 Tlajomulco de Zuniga, Jal.</v>
      </c>
      <c r="H111" t="s">
        <v>42</v>
      </c>
      <c r="I111" t="s">
        <v>70</v>
      </c>
      <c r="J111" t="s">
        <v>44</v>
      </c>
      <c r="K111" t="s">
        <v>31</v>
      </c>
      <c r="L111" t="s">
        <v>32</v>
      </c>
      <c r="M111" t="s">
        <v>45</v>
      </c>
      <c r="N111" s="1">
        <v>46055</v>
      </c>
      <c r="R111" t="b">
        <v>0</v>
      </c>
      <c r="S111" s="2">
        <v>40000</v>
      </c>
      <c r="T111">
        <v>5162.04</v>
      </c>
      <c r="U111" t="s">
        <v>67</v>
      </c>
      <c r="X111">
        <f>Q111*1.16</f>
      </c>
    </row>
    <row r="112">
      <c r="A112" t="str">
        <f>B112</f>
        <v>PIC_TLAJO_111</v>
      </c>
      <c r="B112" t="str">
        <f>HYPERLINK("https://drive.google.com/drive/folders/1t3Uzkd8JZ92ZiUj1xWWyaDsv5KfvBxDu?usp=drive_link";"PIC_TLAJO_111")</f>
        <v>PIC_TLAJO_111</v>
      </c>
      <c r="C112" t="s">
        <v>24</v>
      </c>
      <c r="D112" t="s">
        <v>152</v>
      </c>
      <c r="E112" t="s">
        <v>380</v>
      </c>
      <c r="F112" t="s">
        <v>381</v>
      </c>
      <c r="G112" t="str">
        <f>HYPERLINK("https://www.google.com/maps/search/?api=1&amp;query=Volcan%20Paricutin%20170%2C%20Villas%20de%20la%20Hacienda%2C%2045645%20Tlajomulco%20de%20Zuniga%2C%20Jal.";"Volcan Paricutin 170, Villas de la Hacienda, 45645 Tlajomulco de Zuniga, Jal.")</f>
        <v>Volcan Paricutin 170, Villas de la Hacienda, 45645 Tlajomulco de Zuniga, Jal.</v>
      </c>
      <c r="H112" t="s">
        <v>49</v>
      </c>
      <c r="I112" t="s">
        <v>76</v>
      </c>
      <c r="J112" t="s">
        <v>51</v>
      </c>
      <c r="K112" t="s">
        <v>31</v>
      </c>
      <c r="L112" t="s">
        <v>32</v>
      </c>
      <c r="M112" t="s">
        <v>52</v>
      </c>
      <c r="N112" s="1">
        <v>46084</v>
      </c>
      <c r="R112" t="b">
        <v>0</v>
      </c>
      <c r="S112" s="2">
        <v>40000</v>
      </c>
      <c r="T112">
        <v>2459.84</v>
      </c>
      <c r="U112" t="s">
        <v>72</v>
      </c>
      <c r="X112">
        <f>Q112*1.16</f>
      </c>
    </row>
    <row r="113">
      <c r="A113" t="str">
        <f>B113</f>
        <v>PIC_TLAJO_112</v>
      </c>
      <c r="B113" t="str">
        <f>HYPERLINK("https://drive.google.com/drive/folders/1wQZefnrL1PrDgaMHEiiiJ6ccN9Xsbtqo";"PIC_TLAJO_112")</f>
        <v>PIC_TLAJO_112</v>
      </c>
      <c r="C113" t="s">
        <v>24</v>
      </c>
      <c r="D113" t="s">
        <v>25</v>
      </c>
      <c r="E113" t="s">
        <v>382</v>
      </c>
      <c r="F113" t="s">
        <v>383</v>
      </c>
      <c r="G113" t="str">
        <f>HYPERLINK("https://www.google.com/maps/search/?api=1&amp;query=Loma%20Dorada%20207%2C%20El%20Palomar%2C%2045640%20Tlajomulco%20de%20Zuniga%2C%20Jal.";"Loma Dorada 207, El Palomar, 45640 Tlajomulco de Zuniga, Jal.")</f>
        <v>Loma Dorada 207, El Palomar, 45640 Tlajomulco de Zuniga, Jal.</v>
      </c>
      <c r="H113" t="s">
        <v>58</v>
      </c>
      <c r="I113" t="s">
        <v>81</v>
      </c>
      <c r="J113" t="s">
        <v>60</v>
      </c>
      <c r="K113" t="s">
        <v>31</v>
      </c>
      <c r="L113" t="s">
        <v>32</v>
      </c>
      <c r="M113" t="s">
        <v>61</v>
      </c>
      <c r="N113" s="1">
        <v>46116</v>
      </c>
      <c r="O113" s="1">
        <v>46172</v>
      </c>
      <c r="P113" s="1">
        <v>46139</v>
      </c>
      <c r="Q113" s="2">
        <v>20912.07</v>
      </c>
      <c r="R113" t="b">
        <v>0</v>
      </c>
      <c r="S113" s="2">
        <v>40000</v>
      </c>
      <c r="T113">
        <v>8057.69</v>
      </c>
      <c r="U113" t="s">
        <v>78</v>
      </c>
      <c r="V113" t="s">
        <v>384</v>
      </c>
      <c r="X113">
        <f>Q113*1.16</f>
      </c>
    </row>
    <row r="114">
      <c r="A114" t="str">
        <f>B114</f>
        <v>PIC_TLAJO_113</v>
      </c>
      <c r="B114" t="str">
        <f>HYPERLINK("https://drive.google.com/drive/folders/1zcr5NGBxZgiZ3V3WSCrRBXFu3B73uVcS";"PIC_TLAJO_113")</f>
        <v>PIC_TLAJO_113</v>
      </c>
      <c r="C114" t="s">
        <v>24</v>
      </c>
      <c r="D114" t="s">
        <v>25</v>
      </c>
      <c r="E114" t="s">
        <v>385</v>
      </c>
      <c r="F114" t="s">
        <v>386</v>
      </c>
      <c r="G114" t="str">
        <f>HYPERLINK("https://www.google.com/maps/search/?api=1&amp;query=Real%20de%20Minas%20244%2C%20Santa%20Fe%2C%2045653%20Tlajomulco%20de%20Zuniga%2C%20Jal.";"Real de Minas 244, Santa Fe, 45653 Tlajomulco de Zuniga, Jal.")</f>
        <v>Real de Minas 244, Santa Fe, 45653 Tlajomulco de Zuniga, Jal.</v>
      </c>
      <c r="H114" t="s">
        <v>28</v>
      </c>
      <c r="I114" t="s">
        <v>29</v>
      </c>
      <c r="J114" t="s">
        <v>30</v>
      </c>
      <c r="K114" t="s">
        <v>31</v>
      </c>
      <c r="L114" t="s">
        <v>32</v>
      </c>
      <c r="M114" t="s">
        <v>66</v>
      </c>
      <c r="N114" s="1">
        <v>46147</v>
      </c>
      <c r="O114" s="1">
        <v>46204</v>
      </c>
      <c r="P114" s="1">
        <v>46171</v>
      </c>
      <c r="Q114" s="2">
        <v>25352.81</v>
      </c>
      <c r="R114" t="b">
        <v>0</v>
      </c>
      <c r="S114" s="2">
        <v>40000</v>
      </c>
      <c r="T114" t="s">
        <v>34</v>
      </c>
      <c r="U114" t="s">
        <v>35</v>
      </c>
      <c r="V114" t="s">
        <v>387</v>
      </c>
      <c r="W114" t="s">
        <v>388</v>
      </c>
      <c r="X114">
        <f>Q114*1.16</f>
      </c>
    </row>
    <row r="115">
      <c r="A115" t="str">
        <f>B115</f>
        <v>PIC_TLAJO_114</v>
      </c>
      <c r="B115" t="str">
        <f>HYPERLINK("https://drive.google.com/drive/folders/1ahoJ8c5EcY50PNaNfQHgA8eEs4iaoWAY";"PIC_TLAJO_114")</f>
        <v>PIC_TLAJO_114</v>
      </c>
      <c r="C115" t="s">
        <v>24</v>
      </c>
      <c r="D115" t="s">
        <v>25</v>
      </c>
      <c r="E115" t="s">
        <v>389</v>
      </c>
      <c r="F115" t="s">
        <v>390</v>
      </c>
      <c r="G115" t="str">
        <f>HYPERLINK("https://www.google.com/maps/search/?api=1&amp;query=Camino%20Real%20281%2C%20Hacienda%20Santa%20Fe%2C%2045654%20Tlajomulco%20de%20Zuniga%2C%20Jal.";"Camino Real 281, Hacienda Santa Fe, 45654 Tlajomulco de Zuniga, Jal.")</f>
        <v>Camino Real 281, Hacienda Santa Fe, 45654 Tlajomulco de Zuniga, Jal.</v>
      </c>
      <c r="H115" t="s">
        <v>42</v>
      </c>
      <c r="I115" t="s">
        <v>43</v>
      </c>
      <c r="J115" t="s">
        <v>44</v>
      </c>
      <c r="K115" t="s">
        <v>31</v>
      </c>
      <c r="L115" t="s">
        <v>32</v>
      </c>
      <c r="M115" t="s">
        <v>71</v>
      </c>
      <c r="N115" s="1">
        <v>46179</v>
      </c>
      <c r="O115" s="1">
        <v>46237</v>
      </c>
      <c r="P115" s="1">
        <v>46204</v>
      </c>
      <c r="Q115" s="2">
        <v>29928.62</v>
      </c>
      <c r="R115" t="b">
        <v>0</v>
      </c>
      <c r="S115" s="2">
        <v>40000</v>
      </c>
      <c r="T115">
        <v>1427.01</v>
      </c>
      <c r="U115" t="s">
        <v>46</v>
      </c>
      <c r="W115" t="s">
        <v>391</v>
      </c>
      <c r="X115">
        <f>Q115*1.16</f>
      </c>
    </row>
    <row r="116">
      <c r="A116" t="str">
        <f>B116</f>
        <v>PIC_TLAJO_115</v>
      </c>
      <c r="B116" t="str">
        <f>HYPERLINK("https://drive.google.com/drive/folders/1WD3PvnBQR67zGWQTjHAzo2sC4bUBt55Y";"PIC_TLAJO_115")</f>
        <v>PIC_TLAJO_115</v>
      </c>
      <c r="C116" t="s">
        <v>24</v>
      </c>
      <c r="D116" t="s">
        <v>55</v>
      </c>
      <c r="E116" t="s">
        <v>392</v>
      </c>
      <c r="F116" t="s">
        <v>393</v>
      </c>
      <c r="G116" t="str">
        <f>HYPERLINK("https://www.google.com/maps/search/?api=1&amp;query=Rinconada%20del%20Sol%20318%2C%20Chulavista%2C%2045645%20Tlajomulco%20de%20Zuniga%2C%20Jal.";"Rinconada del Sol 318, Chulavista, 45645 Tlajomulco de Zuniga, Jal.")</f>
        <v>Rinconada del Sol 318, Chulavista, 45645 Tlajomulco de Zuniga, Jal.</v>
      </c>
      <c r="H116" t="s">
        <v>49</v>
      </c>
      <c r="I116" t="s">
        <v>50</v>
      </c>
      <c r="J116" t="s">
        <v>51</v>
      </c>
      <c r="K116" t="s">
        <v>31</v>
      </c>
      <c r="L116" t="s">
        <v>32</v>
      </c>
      <c r="M116" t="s">
        <v>77</v>
      </c>
      <c r="N116" s="1">
        <v>46029</v>
      </c>
      <c r="Q116" s="2">
        <v>19302.29</v>
      </c>
      <c r="R116" t="b">
        <v>0</v>
      </c>
      <c r="S116" s="2">
        <v>40000</v>
      </c>
      <c r="T116">
        <v>1161.04</v>
      </c>
      <c r="U116" t="s">
        <v>53</v>
      </c>
      <c r="X116">
        <f>Q116*1.16</f>
      </c>
    </row>
    <row r="117">
      <c r="A117" t="str">
        <f>B117</f>
        <v>BNC_HSBC_116</v>
      </c>
      <c r="B117" t="str">
        <f>HYPERLINK("https://drive.google.com/drive/folders/1fk31YZ6zwjoZgvu59F1dK8EbheCQLK9Q?usp=drive_link";"BNC_HSBC_116")</f>
        <v>BNC_HSBC_116</v>
      </c>
      <c r="C117" t="s">
        <v>38</v>
      </c>
      <c r="D117" t="s">
        <v>152</v>
      </c>
      <c r="E117" t="s">
        <v>394</v>
      </c>
      <c r="F117" t="s">
        <v>395</v>
      </c>
      <c r="G117" t="str">
        <f>HYPERLINK("https://www.google.com/maps/search/?api=1&amp;query=Hacienda%20Vieja%20355%2C%20LOMAS%2C%2045640%20Tlajomulco%20de%20Zuniga%2C%20Jal.";"Hacienda Vieja 355, LOMAS, 45640 Tlajomulco de Zuniga, Jal.")</f>
        <v>Hacienda Vieja 355, LOMAS, 45640 Tlajomulco de Zuniga, Jal.</v>
      </c>
      <c r="H117" t="s">
        <v>58</v>
      </c>
      <c r="I117" t="s">
        <v>59</v>
      </c>
      <c r="J117" t="s">
        <v>60</v>
      </c>
      <c r="K117" t="s">
        <v>31</v>
      </c>
      <c r="L117" t="s">
        <v>32</v>
      </c>
      <c r="M117" t="s">
        <v>82</v>
      </c>
      <c r="N117" s="1">
        <v>46061</v>
      </c>
      <c r="R117" t="b">
        <v>0</v>
      </c>
      <c r="S117" s="2">
        <v>40000</v>
      </c>
      <c r="T117">
        <v>1711.16</v>
      </c>
      <c r="U117" t="s">
        <v>62</v>
      </c>
      <c r="X117">
        <f>Q117*1.16</f>
      </c>
    </row>
    <row r="118">
      <c r="A118" t="str">
        <f>B118</f>
        <v>CART_SOJI_TLAJO_117</v>
      </c>
      <c r="B118" t="str">
        <f>HYPERLINK("https://drive.google.com/drive/folders/1igF0SxXNGKFDTwoz6qixNR8Zpv9Jw9Nu";"CART_SOJI_TLAJO_117")</f>
        <v>CART_SOJI_TLAJO_117</v>
      </c>
      <c r="C118" t="s">
        <v>294</v>
      </c>
      <c r="D118" t="s">
        <v>100</v>
      </c>
      <c r="E118" t="s">
        <v>396</v>
      </c>
      <c r="F118" t="s">
        <v>397</v>
      </c>
      <c r="G118" t="str">
        <f>HYPERLINK("https://www.google.com/maps/search/?api=1&amp;query=Portal%20de%20San%20Juan%20392%2C%20Lomas%20del%20Sur%2C%2045653%20Tlajomulco%20de%20Zuniga%2C%20Jal.";"Portal de San Juan 392, Lomas del Sur, 45653 Tlajomulco de Zuniga, Jal.")</f>
        <v>Portal de San Juan 392, Lomas del Sur, 45653 Tlajomulco de Zuniga, Jal.</v>
      </c>
      <c r="H118" t="s">
        <v>28</v>
      </c>
      <c r="I118" t="s">
        <v>65</v>
      </c>
      <c r="J118" t="s">
        <v>30</v>
      </c>
      <c r="K118" t="s">
        <v>31</v>
      </c>
      <c r="L118" t="s">
        <v>32</v>
      </c>
      <c r="M118" t="s">
        <v>86</v>
      </c>
      <c r="N118" s="1">
        <v>46090</v>
      </c>
      <c r="O118" s="1">
        <v>46151</v>
      </c>
      <c r="P118" s="1">
        <v>46118</v>
      </c>
      <c r="Q118" s="2">
        <v>23953.34</v>
      </c>
      <c r="R118" t="b">
        <v>0</v>
      </c>
      <c r="S118" s="2">
        <v>40000</v>
      </c>
      <c r="T118" t="s">
        <v>34</v>
      </c>
      <c r="U118" t="s">
        <v>67</v>
      </c>
      <c r="W118" t="s">
        <v>398</v>
      </c>
      <c r="X118">
        <f>Q118*1.16</f>
      </c>
    </row>
    <row r="119">
      <c r="A119" t="str">
        <f>B119</f>
        <v>PIC_TLAJO_118</v>
      </c>
      <c r="B119" t="str">
        <f>HYPERLINK("https://drive.google.com/drive/folders/1nD1Fcoj0B6EHmRnKVsW1tWoeH1DSJP0T";"PIC_TLAJO_118")</f>
        <v>PIC_TLAJO_118</v>
      </c>
      <c r="C119" t="s">
        <v>24</v>
      </c>
      <c r="D119" t="s">
        <v>25</v>
      </c>
      <c r="E119" t="s">
        <v>399</v>
      </c>
      <c r="F119" t="s">
        <v>400</v>
      </c>
      <c r="G119" t="str">
        <f>HYPERLINK("https://www.google.com/maps/search/?api=1&amp;query=Valle%20de%20Toluca%20429%2C%20Los%20Amiales%2C%2045654%20Tlajomulco%20de%20Zuniga%2C%20Jal.";"Valle de Toluca 429, Los Amiales, 45654 Tlajomulco de Zuniga, Jal.")</f>
        <v>Valle de Toluca 429, Los Amiales, 45654 Tlajomulco de Zuniga, Jal.</v>
      </c>
      <c r="H119" t="s">
        <v>42</v>
      </c>
      <c r="I119" t="s">
        <v>70</v>
      </c>
      <c r="J119" t="s">
        <v>44</v>
      </c>
      <c r="K119" t="s">
        <v>31</v>
      </c>
      <c r="L119" t="s">
        <v>32</v>
      </c>
      <c r="M119" t="s">
        <v>89</v>
      </c>
      <c r="N119" s="1">
        <v>46122</v>
      </c>
      <c r="O119" s="1">
        <v>46184</v>
      </c>
      <c r="P119" s="1">
        <v>46151</v>
      </c>
      <c r="Q119" s="2">
        <v>17974.51</v>
      </c>
      <c r="R119" t="b">
        <v>1</v>
      </c>
      <c r="S119" s="2">
        <v>80000</v>
      </c>
      <c r="T119">
        <v>5596.16</v>
      </c>
      <c r="U119" t="s">
        <v>72</v>
      </c>
      <c r="V119" t="s">
        <v>401</v>
      </c>
      <c r="W119" t="s">
        <v>402</v>
      </c>
      <c r="X119">
        <f>Q119*1.16</f>
      </c>
    </row>
    <row r="120">
      <c r="A120" t="str">
        <f>B120</f>
        <v>BNC_HSBC_119</v>
      </c>
      <c r="B120" t="str">
        <f>HYPERLINK("https://drive.google.com/drive/folders/1sqn3usruAdsLxYzLyGR3BzUkFVCEFSyy";"BNC_HSBC_119")</f>
        <v>BNC_HSBC_119</v>
      </c>
      <c r="C120" t="s">
        <v>38</v>
      </c>
      <c r="D120" t="s">
        <v>25</v>
      </c>
      <c r="E120" t="s">
        <v>403</v>
      </c>
      <c r="F120" t="s">
        <v>404</v>
      </c>
      <c r="G120" t="str">
        <f>HYPERLINK("https://www.google.com/maps/search/?api=1&amp;query=Cerro%20Gordo%20466%2C%20Villas%20de%20la%20Hacienda%2C%2045645%20Tlajomulco%20de%20Zuniga%2C%20Jal.";"Cerro Gordo 466, Villas de la Hacienda, 45645 Tlajomulco de Zuniga, Jal.")</f>
        <v>Cerro Gordo 466, Villas de la Hacienda, 45645 Tlajomulco de Zuniga, Jal.</v>
      </c>
      <c r="H120" t="s">
        <v>49</v>
      </c>
      <c r="I120" t="s">
        <v>76</v>
      </c>
      <c r="J120" t="s">
        <v>51</v>
      </c>
      <c r="K120" t="s">
        <v>31</v>
      </c>
      <c r="L120" t="s">
        <v>32</v>
      </c>
      <c r="M120" t="s">
        <v>94</v>
      </c>
      <c r="N120" s="1">
        <v>46153</v>
      </c>
      <c r="O120" s="1">
        <v>46216</v>
      </c>
      <c r="P120" s="1">
        <v>46183</v>
      </c>
      <c r="Q120" s="2">
        <v>30579.82</v>
      </c>
      <c r="R120" t="b">
        <v>0</v>
      </c>
      <c r="S120" s="2">
        <v>40000</v>
      </c>
      <c r="T120">
        <v>6978.23</v>
      </c>
      <c r="U120" t="s">
        <v>78</v>
      </c>
      <c r="V120" t="s">
        <v>405</v>
      </c>
      <c r="W120" t="s">
        <v>406</v>
      </c>
      <c r="X120">
        <f>Q120*1.16</f>
      </c>
    </row>
    <row r="121">
      <c r="A121" t="str">
        <f>B121</f>
        <v>PIC_TLAJO_120</v>
      </c>
      <c r="B121" t="str">
        <f>HYPERLINK("https://drive.google.com/drive/folders/1T7p17a3NJ8XLxJBdqsGDC8h75n9Fp08z";"PIC_TLAJO_120")</f>
        <v>PIC_TLAJO_120</v>
      </c>
      <c r="C121" t="s">
        <v>24</v>
      </c>
      <c r="D121" t="s">
        <v>39</v>
      </c>
      <c r="E121" t="s">
        <v>407</v>
      </c>
      <c r="F121" t="s">
        <v>408</v>
      </c>
      <c r="G121" t="str">
        <f>HYPERLINK("https://www.google.com/maps/search/?api=1&amp;query=Prado%20Sur%20103%2C%20El%20Palomar%2C%2045640%20Tlajomulco%20de%20Zuniga%2C%20Jal.";"Prado Sur 103, El Palomar, 45640 Tlajomulco de Zuniga, Jal.")</f>
        <v>Prado Sur 103, El Palomar, 45640 Tlajomulco de Zuniga, Jal.</v>
      </c>
      <c r="H121" t="s">
        <v>58</v>
      </c>
      <c r="I121" t="s">
        <v>81</v>
      </c>
      <c r="J121" t="s">
        <v>60</v>
      </c>
      <c r="K121" t="s">
        <v>31</v>
      </c>
      <c r="L121" t="s">
        <v>32</v>
      </c>
      <c r="M121" t="s">
        <v>99</v>
      </c>
      <c r="N121" s="1">
        <v>46185</v>
      </c>
      <c r="R121" t="b">
        <v>0</v>
      </c>
      <c r="S121" s="2">
        <v>40000</v>
      </c>
      <c r="T121">
        <v>3440.01</v>
      </c>
      <c r="U121" t="s">
        <v>35</v>
      </c>
      <c r="X121">
        <f>Q121*1.16</f>
      </c>
    </row>
    <row r="122">
      <c r="A122" t="str">
        <f>B122</f>
        <v>BNC_HSBC_121</v>
      </c>
      <c r="B122" t="str">
        <f>HYPERLINK("https://drive.google.com/drive/folders/1ZkEtkBnYrKCj0VMuskTDF8hzrQNCfxYc?usp=drive_link";"BNC_HSBC_121")</f>
        <v>BNC_HSBC_121</v>
      </c>
      <c r="C122" t="s">
        <v>38</v>
      </c>
      <c r="D122" t="s">
        <v>100</v>
      </c>
      <c r="E122" t="s">
        <v>409</v>
      </c>
      <c r="F122" t="s">
        <v>410</v>
      </c>
      <c r="G122" t="str">
        <f>HYPERLINK("https://www.google.com/maps/search/?api=1&amp;query=Av.%20Temuco%20140%2C%20Santa%20Fe%2C%2045653%20Tlajomulco%20de%20Zuniga%2C%20Jal.";"Av. Temuco 140, Santa Fe, 45653 Tlajomulco de Zuniga, Jal.")</f>
        <v>Av. Temuco 140, Santa Fe, 45653 Tlajomulco de Zuniga, Jal.</v>
      </c>
      <c r="H122" t="s">
        <v>28</v>
      </c>
      <c r="I122" t="s">
        <v>29</v>
      </c>
      <c r="J122" t="s">
        <v>30</v>
      </c>
      <c r="K122" t="s">
        <v>31</v>
      </c>
      <c r="L122" t="s">
        <v>32</v>
      </c>
      <c r="M122" t="s">
        <v>33</v>
      </c>
      <c r="N122" s="1">
        <v>46035</v>
      </c>
      <c r="O122" s="1">
        <v>46060</v>
      </c>
      <c r="P122" s="1">
        <v>46047</v>
      </c>
      <c r="Q122" s="2">
        <v>28667.41</v>
      </c>
      <c r="R122" t="b">
        <v>0</v>
      </c>
      <c r="S122" s="2">
        <v>40000</v>
      </c>
      <c r="T122" t="s">
        <v>34</v>
      </c>
      <c r="U122" t="s">
        <v>46</v>
      </c>
      <c r="V122" t="s">
        <v>411</v>
      </c>
      <c r="W122" t="s">
        <v>412</v>
      </c>
      <c r="X122">
        <f>Q122*1.16</f>
      </c>
    </row>
    <row r="123">
      <c r="A123" t="str">
        <f>B123</f>
        <v>PIC_TLAJO_122</v>
      </c>
      <c r="B123" t="str">
        <f>HYPERLINK("https://drive.google.com/drive/folders/1btWrPaL42c0yvn0u03SHLmtsabeEh9f0";"PIC_TLAJO_122")</f>
        <v>PIC_TLAJO_122</v>
      </c>
      <c r="C123" t="s">
        <v>24</v>
      </c>
      <c r="D123" t="s">
        <v>25</v>
      </c>
      <c r="E123" t="s">
        <v>413</v>
      </c>
      <c r="F123" t="s">
        <v>414</v>
      </c>
      <c r="G123" t="str">
        <f>HYPERLINK("https://www.google.com/maps/search/?api=1&amp;query=Cerro%20de%20la%20Cruz%20177%2C%20Hacienda%20Santa%20Fe%2C%2045654%20Tlajomulco%20de%20Zuniga%2C%20Jal.";"Cerro de la Cruz 177, Hacienda Santa Fe, 45654 Tlajomulco de Zuniga, Jal.")</f>
        <v>Cerro de la Cruz 177, Hacienda Santa Fe, 45654 Tlajomulco de Zuniga, Jal.</v>
      </c>
      <c r="H123" t="s">
        <v>42</v>
      </c>
      <c r="I123" t="s">
        <v>43</v>
      </c>
      <c r="J123" t="s">
        <v>44</v>
      </c>
      <c r="K123" t="s">
        <v>31</v>
      </c>
      <c r="L123" t="s">
        <v>32</v>
      </c>
      <c r="M123" t="s">
        <v>45</v>
      </c>
      <c r="N123" s="1">
        <v>46067</v>
      </c>
      <c r="O123" s="1">
        <v>46093</v>
      </c>
      <c r="P123" s="1">
        <v>46080</v>
      </c>
      <c r="Q123" s="2">
        <v>23569.69</v>
      </c>
      <c r="R123" t="b">
        <v>0</v>
      </c>
      <c r="S123" s="2">
        <v>40000</v>
      </c>
      <c r="T123">
        <v>6089.15</v>
      </c>
      <c r="U123" t="s">
        <v>53</v>
      </c>
      <c r="V123" t="s">
        <v>415</v>
      </c>
      <c r="W123" t="s">
        <v>416</v>
      </c>
      <c r="X123">
        <f>Q123*1.16</f>
      </c>
    </row>
    <row r="124">
      <c r="A124" t="str">
        <f>B124</f>
        <v>PIC_TLAJO_123</v>
      </c>
      <c r="B124" t="str">
        <f>HYPERLINK("https://drive.google.com/drive/folders/1vBUjfFyUiz1SZKrxgm3u3ssq0JqmwzS4";"PIC_TLAJO_123")</f>
        <v>PIC_TLAJO_123</v>
      </c>
      <c r="C124" t="s">
        <v>24</v>
      </c>
      <c r="D124" t="s">
        <v>240</v>
      </c>
      <c r="E124" t="s">
        <v>417</v>
      </c>
      <c r="F124" t="s">
        <v>418</v>
      </c>
      <c r="G124" t="str">
        <f>HYPERLINK("https://www.google.com/maps/search/?api=1&amp;query=Cerro%20la%20Atalaya%20214%2C%20Chulavista%2C%2045645%20Tlajomulco%20de%20Zuniga%2C%20Jal.";"Cerro la Atalaya 214, Chulavista, 45645 Tlajomulco de Zuniga, Jal.")</f>
        <v>Cerro la Atalaya 214, Chulavista, 45645 Tlajomulco de Zuniga, Jal.</v>
      </c>
      <c r="H124" t="s">
        <v>49</v>
      </c>
      <c r="I124" t="s">
        <v>50</v>
      </c>
      <c r="J124" t="s">
        <v>51</v>
      </c>
      <c r="K124" t="s">
        <v>31</v>
      </c>
      <c r="L124" t="s">
        <v>32</v>
      </c>
      <c r="M124" t="s">
        <v>52</v>
      </c>
      <c r="N124" s="1">
        <v>46096</v>
      </c>
      <c r="R124" t="b">
        <v>0</v>
      </c>
      <c r="S124" s="2">
        <v>40000</v>
      </c>
      <c r="T124">
        <v>3227.75</v>
      </c>
      <c r="U124" t="s">
        <v>62</v>
      </c>
      <c r="X124">
        <f>Q124*1.16</f>
      </c>
    </row>
    <row r="125">
      <c r="A125" t="str">
        <f>B125</f>
        <v>PIC_TLAJO_124</v>
      </c>
      <c r="B125" t="str">
        <f>HYPERLINK("https://drive.google.com/drive/folders/1h3uC1o8pgWQDgVndwAxj4AR6tK4zzy5A";"PIC_TLAJO_124")</f>
        <v>PIC_TLAJO_124</v>
      </c>
      <c r="C125" t="s">
        <v>24</v>
      </c>
      <c r="D125" t="s">
        <v>25</v>
      </c>
      <c r="E125" t="s">
        <v>419</v>
      </c>
      <c r="F125" t="s">
        <v>420</v>
      </c>
      <c r="G125" t="str">
        <f>HYPERLINK("https://www.google.com/maps/search/?api=1&amp;query=Monte%20Cabra%20251%2C%20LOMAS%2C%2045640%20Tlajomulco%20de%20Zuniga%2C%20Jal.";"Monte Cabra 251, LOMAS, 45640 Tlajomulco de Zuniga, Jal.")</f>
        <v>Monte Cabra 251, LOMAS, 45640 Tlajomulco de Zuniga, Jal.</v>
      </c>
      <c r="H125" t="s">
        <v>58</v>
      </c>
      <c r="I125" t="s">
        <v>59</v>
      </c>
      <c r="J125" t="s">
        <v>60</v>
      </c>
      <c r="K125" t="s">
        <v>31</v>
      </c>
      <c r="L125" t="s">
        <v>32</v>
      </c>
      <c r="M125" t="s">
        <v>61</v>
      </c>
      <c r="N125" s="1">
        <v>46128</v>
      </c>
      <c r="O125" s="1">
        <v>46156</v>
      </c>
      <c r="P125" s="1">
        <v>46143</v>
      </c>
      <c r="Q125" s="2">
        <v>18761.52</v>
      </c>
      <c r="R125" t="b">
        <v>0</v>
      </c>
      <c r="S125" s="2">
        <v>40000</v>
      </c>
      <c r="T125">
        <v>8487.37</v>
      </c>
      <c r="U125" t="s">
        <v>67</v>
      </c>
      <c r="V125" t="s">
        <v>421</v>
      </c>
      <c r="X125">
        <f>Q125*1.16</f>
      </c>
    </row>
    <row r="126">
      <c r="A126" t="str">
        <f>B126</f>
        <v>PRV_INFVT_125</v>
      </c>
      <c r="B126" t="str">
        <f>HYPERLINK("https://drive.google.com/drive/folders/1iZvhALoUNAksypDPnCtu60wH88J8UNwP";"PRV_INFVT_125")</f>
        <v>PRV_INFVT_125</v>
      </c>
      <c r="C126" t="s">
        <v>83</v>
      </c>
      <c r="D126" t="s">
        <v>25</v>
      </c>
      <c r="E126" t="s">
        <v>422</v>
      </c>
      <c r="F126" t="s">
        <v>423</v>
      </c>
      <c r="G126" t="str">
        <f>HYPERLINK("https://www.google.com/maps/search/?api=1&amp;query=Cerro%20de%20las%207%20Gotas%20288%2C%20Lomas%20del%20Sur%2C%2045653%20Tlajomulco%20de%20Zuniga%2C%20Jal.";"Cerro de las 7 Gotas 288, Lomas del Sur, 45653 Tlajomulco de Zuniga, Jal.")</f>
        <v>Cerro de las 7 Gotas 288, Lomas del Sur, 45653 Tlajomulco de Zuniga, Jal.</v>
      </c>
      <c r="H126" t="s">
        <v>28</v>
      </c>
      <c r="I126" t="s">
        <v>65</v>
      </c>
      <c r="J126" t="s">
        <v>30</v>
      </c>
      <c r="K126" t="s">
        <v>31</v>
      </c>
      <c r="L126" t="s">
        <v>32</v>
      </c>
      <c r="M126" t="s">
        <v>66</v>
      </c>
      <c r="N126" s="1">
        <v>46159</v>
      </c>
      <c r="O126" s="1">
        <v>46188</v>
      </c>
      <c r="P126" s="1">
        <v>46175</v>
      </c>
      <c r="Q126" s="2">
        <v>20604.27</v>
      </c>
      <c r="R126" t="b">
        <v>0</v>
      </c>
      <c r="S126" s="2">
        <v>40000</v>
      </c>
      <c r="T126" t="s">
        <v>34</v>
      </c>
      <c r="U126" t="s">
        <v>72</v>
      </c>
      <c r="V126" t="s">
        <v>424</v>
      </c>
      <c r="W126" t="s">
        <v>425</v>
      </c>
      <c r="X126">
        <f>Q126*1.16</f>
      </c>
    </row>
    <row r="127">
      <c r="A127" t="str">
        <f>B127</f>
        <v>BNC_HSBC_126</v>
      </c>
      <c r="B127" t="str">
        <f>HYPERLINK("https://drive.google.com/drive/folders/177RzVVzkMXU3fFcDcREUbEDSZXjThJEb?usp=drive_link";"BNC_HSBC_126")</f>
        <v>BNC_HSBC_126</v>
      </c>
      <c r="C127" t="s">
        <v>38</v>
      </c>
      <c r="D127" t="s">
        <v>426</v>
      </c>
      <c r="E127" t="s">
        <v>427</v>
      </c>
      <c r="F127" t="s">
        <v>428</v>
      </c>
      <c r="G127" t="str">
        <f>HYPERLINK("https://www.google.com/maps/search/?api=1&amp;query=Esteli%20325%2C%20Los%20Amiales%2C%2045654%20Tlajomulco%20de%20Zuniga%2C%20Jal.";"Esteli 325, Los Amiales, 45654 Tlajomulco de Zuniga, Jal.")</f>
        <v>Esteli 325, Los Amiales, 45654 Tlajomulco de Zuniga, Jal.</v>
      </c>
      <c r="H127" t="s">
        <v>42</v>
      </c>
      <c r="I127" t="s">
        <v>70</v>
      </c>
      <c r="J127" t="s">
        <v>44</v>
      </c>
      <c r="K127" t="s">
        <v>31</v>
      </c>
      <c r="L127" t="s">
        <v>32</v>
      </c>
      <c r="M127" t="s">
        <v>71</v>
      </c>
      <c r="N127" s="1">
        <v>46191</v>
      </c>
      <c r="R127" t="b">
        <v>0</v>
      </c>
      <c r="S127" s="2">
        <v>40000</v>
      </c>
      <c r="T127">
        <v>6616.22</v>
      </c>
      <c r="U127" t="s">
        <v>78</v>
      </c>
      <c r="X127">
        <f>Q127*1.16</f>
      </c>
    </row>
    <row r="128">
      <c r="A128" t="str">
        <f>B128</f>
        <v>PIC_TLAJO_127</v>
      </c>
      <c r="B128" t="str">
        <f>HYPERLINK("https://drive.google.com/drive/folders/1FSMYNMJKkLsGeX1jrVkBXC33szZT9iiL";"PIC_TLAJO_127")</f>
        <v>PIC_TLAJO_127</v>
      </c>
      <c r="C128" t="s">
        <v>24</v>
      </c>
      <c r="D128" t="s">
        <v>240</v>
      </c>
      <c r="E128" t="s">
        <v>429</v>
      </c>
      <c r="F128" t="s">
        <v>430</v>
      </c>
      <c r="G128" t="str">
        <f>HYPERLINK("https://www.google.com/maps/search/?api=1&amp;query=Montevideo%20362%2C%20Villas%20de%20la%20Hacienda%2C%2045645%20Tlajomulco%20de%20Zuniga%2C%20Jal.";"Montevideo 362, Villas de la Hacienda, 45645 Tlajomulco de Zuniga, Jal.")</f>
        <v>Montevideo 362, Villas de la Hacienda, 45645 Tlajomulco de Zuniga, Jal.</v>
      </c>
      <c r="H128" t="s">
        <v>49</v>
      </c>
      <c r="I128" t="s">
        <v>76</v>
      </c>
      <c r="J128" t="s">
        <v>51</v>
      </c>
      <c r="K128" t="s">
        <v>31</v>
      </c>
      <c r="L128" t="s">
        <v>32</v>
      </c>
      <c r="M128" t="s">
        <v>77</v>
      </c>
      <c r="N128" s="1">
        <v>46041</v>
      </c>
      <c r="Q128" s="2">
        <v>27838.54</v>
      </c>
      <c r="R128" t="b">
        <v>1</v>
      </c>
      <c r="S128" s="2">
        <v>80000</v>
      </c>
      <c r="T128">
        <v>8461.04</v>
      </c>
      <c r="U128" t="s">
        <v>35</v>
      </c>
      <c r="X128">
        <f>Q128*1.16</f>
      </c>
    </row>
    <row r="129">
      <c r="A129" t="str">
        <f>B129</f>
        <v>PIC_TLAJO_128</v>
      </c>
      <c r="B129" t="str">
        <f>HYPERLINK("https://drive.google.com/drive/folders/1DZ0uQzLdZ5rs51RUUigcPrHdJjecLxHB";"PIC_TLAJO_128")</f>
        <v>PIC_TLAJO_128</v>
      </c>
      <c r="C129" t="s">
        <v>24</v>
      </c>
      <c r="D129" t="s">
        <v>128</v>
      </c>
      <c r="E129" t="s">
        <v>431</v>
      </c>
      <c r="F129" t="s">
        <v>432</v>
      </c>
      <c r="G129" t="str">
        <f>HYPERLINK("https://www.google.com/maps/search/?api=1&amp;query=Av.%20Bogota%20399%2C%20El%20Palomar%2C%2045640%20Tlajomulco%20de%20Zuniga%2C%20Jal.";"Av. Bogota 399, El Palomar, 45640 Tlajomulco de Zuniga, Jal.")</f>
        <v>Av. Bogota 399, El Palomar, 45640 Tlajomulco de Zuniga, Jal.</v>
      </c>
      <c r="H129" t="s">
        <v>58</v>
      </c>
      <c r="I129" t="s">
        <v>81</v>
      </c>
      <c r="J129" t="s">
        <v>60</v>
      </c>
      <c r="K129" t="s">
        <v>31</v>
      </c>
      <c r="L129" t="s">
        <v>32</v>
      </c>
      <c r="M129" t="s">
        <v>82</v>
      </c>
      <c r="N129" s="1">
        <v>46073</v>
      </c>
      <c r="R129" t="b">
        <v>0</v>
      </c>
      <c r="S129" s="2">
        <v>40000</v>
      </c>
      <c r="T129">
        <v>2293.6</v>
      </c>
      <c r="U129" t="s">
        <v>46</v>
      </c>
      <c r="X129">
        <f>Q129*1.16</f>
      </c>
    </row>
    <row r="130">
      <c r="A130" t="str">
        <f>B130</f>
        <v>PIC_TLAJO_129</v>
      </c>
      <c r="B130" t="str">
        <f>HYPERLINK("https://drive.google.com/drive/folders/1RTS8NLSUrMhTFncwDKjvqojKJ7JjSETo";"PIC_TLAJO_129")</f>
        <v>PIC_TLAJO_129</v>
      </c>
      <c r="C130" t="s">
        <v>24</v>
      </c>
      <c r="D130" t="s">
        <v>39</v>
      </c>
      <c r="E130" t="s">
        <v>433</v>
      </c>
      <c r="F130" t="s">
        <v>434</v>
      </c>
      <c r="G130" t="str">
        <f>HYPERLINK("https://www.google.com/maps/search/?api=1&amp;query=Blvd.%20Republica%20de%20Honduras%20436%2C%20Santa%20Fe%2C%2045653%20Tlajomulco%20de%20Zuniga%2C%20Jal.";"Blvd. Republica de Honduras 436, Santa Fe, 45653 Tlajomulco de Zuniga, Jal.")</f>
        <v>Blvd. Republica de Honduras 436, Santa Fe, 45653 Tlajomulco de Zuniga, Jal.</v>
      </c>
      <c r="H130" t="s">
        <v>28</v>
      </c>
      <c r="I130" t="s">
        <v>29</v>
      </c>
      <c r="J130" t="s">
        <v>30</v>
      </c>
      <c r="K130" t="s">
        <v>31</v>
      </c>
      <c r="L130" t="s">
        <v>32</v>
      </c>
      <c r="M130" t="s">
        <v>86</v>
      </c>
      <c r="N130" s="1">
        <v>46102</v>
      </c>
      <c r="R130" t="b">
        <v>0</v>
      </c>
      <c r="S130" s="2">
        <v>40000</v>
      </c>
      <c r="T130" t="s">
        <v>34</v>
      </c>
      <c r="U130" t="s">
        <v>53</v>
      </c>
      <c r="X130">
        <f>Q130*1.16</f>
      </c>
    </row>
    <row r="131">
      <c r="A131" t="str">
        <f>B131</f>
        <v>BNC_HSBC_130</v>
      </c>
      <c r="B131" t="str">
        <f>HYPERLINK("https://drive.google.com/drive/folders/1L6DbXvQ73pxGGxQDvHieKPWqJGw5acQS";"BNC_HSBC_130")</f>
        <v>BNC_HSBC_130</v>
      </c>
      <c r="C131" t="s">
        <v>38</v>
      </c>
      <c r="D131" t="s">
        <v>25</v>
      </c>
      <c r="E131" t="s">
        <v>435</v>
      </c>
      <c r="F131" t="s">
        <v>436</v>
      </c>
      <c r="G131" t="str">
        <f>HYPERLINK("https://www.google.com/maps/search/?api=1&amp;query=Paseo%20de%20los%20Agaves%20473%2C%20Hacienda%20Santa%20Fe%2C%2045654%20Tlajomulco%20de%20Zuniga%2C%20Jal.";"Paseo de los Agaves 473, Hacienda Santa Fe, 45654 Tlajomulco de Zuniga, Jal.")</f>
        <v>Paseo de los Agaves 473, Hacienda Santa Fe, 45654 Tlajomulco de Zuniga, Jal.</v>
      </c>
      <c r="H131" t="s">
        <v>42</v>
      </c>
      <c r="I131" t="s">
        <v>43</v>
      </c>
      <c r="J131" t="s">
        <v>44</v>
      </c>
      <c r="K131" t="s">
        <v>31</v>
      </c>
      <c r="L131" t="s">
        <v>32</v>
      </c>
      <c r="M131" t="s">
        <v>89</v>
      </c>
      <c r="N131" s="1">
        <v>46134</v>
      </c>
      <c r="O131" s="1">
        <v>46168</v>
      </c>
      <c r="P131" s="1">
        <v>46155</v>
      </c>
      <c r="Q131" s="2">
        <v>14710.68</v>
      </c>
      <c r="R131" t="b">
        <v>0</v>
      </c>
      <c r="S131" s="2">
        <v>40000</v>
      </c>
      <c r="T131">
        <v>1320.04</v>
      </c>
      <c r="U131" t="s">
        <v>62</v>
      </c>
      <c r="V131" t="s">
        <v>437</v>
      </c>
      <c r="W131" t="s">
        <v>438</v>
      </c>
      <c r="X131">
        <f>Q131*1.16</f>
      </c>
    </row>
    <row r="132">
      <c r="A132" t="str">
        <f>B132</f>
        <v>PIC_TLAJO_131</v>
      </c>
      <c r="B132" t="str">
        <f>HYPERLINK("https://drive.google.com/drive/folders/1uxqeBUN82TGdKg0YEjDJSAwWWnnf0HWj?usp=drive_link";"PIC_TLAJO_131")</f>
        <v>PIC_TLAJO_131</v>
      </c>
      <c r="C132" t="s">
        <v>24</v>
      </c>
      <c r="D132" t="s">
        <v>152</v>
      </c>
      <c r="E132" t="s">
        <v>439</v>
      </c>
      <c r="F132" t="s">
        <v>440</v>
      </c>
      <c r="G132" t="str">
        <f>HYPERLINK("https://www.google.com/maps/search/?api=1&amp;query=Volcan%20Paricutin%20110%2C%20Chulavista%2C%2045645%20Tlajomulco%20de%20Zuniga%2C%20Jal.";"Volcan Paricutin 110, Chulavista, 45645 Tlajomulco de Zuniga, Jal.")</f>
        <v>Volcan Paricutin 110, Chulavista, 45645 Tlajomulco de Zuniga, Jal.</v>
      </c>
      <c r="H132" t="s">
        <v>49</v>
      </c>
      <c r="I132" t="s">
        <v>50</v>
      </c>
      <c r="J132" t="s">
        <v>51</v>
      </c>
      <c r="K132" t="s">
        <v>31</v>
      </c>
      <c r="L132" t="s">
        <v>32</v>
      </c>
      <c r="M132" t="s">
        <v>94</v>
      </c>
      <c r="N132" s="1">
        <v>46165</v>
      </c>
      <c r="R132" t="b">
        <v>0</v>
      </c>
      <c r="S132" s="2">
        <v>40000</v>
      </c>
      <c r="T132">
        <v>4625.41</v>
      </c>
      <c r="U132" t="s">
        <v>67</v>
      </c>
      <c r="X132">
        <f>Q132*1.16</f>
      </c>
    </row>
    <row r="133">
      <c r="A133" t="str">
        <f>B133</f>
        <v>PIC_TLAJO_132</v>
      </c>
      <c r="B133" t="str">
        <f>HYPERLINK("https://drive.google.com/drive/folders/1LvzzGZqkdV0UdvzWnTmU2qn5WpMy07TY";"PIC_TLAJO_132")</f>
        <v>PIC_TLAJO_132</v>
      </c>
      <c r="C133" t="s">
        <v>24</v>
      </c>
      <c r="D133" t="s">
        <v>25</v>
      </c>
      <c r="E133" t="s">
        <v>441</v>
      </c>
      <c r="F133" t="s">
        <v>442</v>
      </c>
      <c r="G133" t="str">
        <f>HYPERLINK("https://www.google.com/maps/search/?api=1&amp;query=Loma%20Dorada%20147%2C%20LOMAS%2C%2045640%20Tlajomulco%20de%20Zuniga%2C%20Jal.";"Loma Dorada 147, LOMAS, 45640 Tlajomulco de Zuniga, Jal.")</f>
        <v>Loma Dorada 147, LOMAS, 45640 Tlajomulco de Zuniga, Jal.</v>
      </c>
      <c r="H133" t="s">
        <v>58</v>
      </c>
      <c r="I133" t="s">
        <v>59</v>
      </c>
      <c r="J133" t="s">
        <v>60</v>
      </c>
      <c r="K133" t="s">
        <v>31</v>
      </c>
      <c r="L133" t="s">
        <v>32</v>
      </c>
      <c r="M133" t="s">
        <v>99</v>
      </c>
      <c r="N133" s="1">
        <v>46197</v>
      </c>
      <c r="O133" s="1">
        <v>46233</v>
      </c>
      <c r="P133" s="1">
        <v>46220</v>
      </c>
      <c r="Q133" s="2">
        <v>23638.09</v>
      </c>
      <c r="R133" t="b">
        <v>0</v>
      </c>
      <c r="S133" s="2">
        <v>40000</v>
      </c>
      <c r="T133">
        <v>6556.04</v>
      </c>
      <c r="U133" t="s">
        <v>72</v>
      </c>
      <c r="X133">
        <f>Q133*1.16</f>
      </c>
    </row>
    <row r="134">
      <c r="A134" t="str">
        <f>B134</f>
        <v>PRV_INFVT_133</v>
      </c>
      <c r="B134" t="str">
        <f>HYPERLINK("https://drive.google.com/drive/folders/1e1mYtHipZiHoFTvko2qZA5FKk9fpsgdj";"PRV_INFVT_133")</f>
        <v>PRV_INFVT_133</v>
      </c>
      <c r="C134" t="s">
        <v>83</v>
      </c>
      <c r="D134" t="s">
        <v>25</v>
      </c>
      <c r="E134" t="s">
        <v>443</v>
      </c>
      <c r="F134" t="s">
        <v>444</v>
      </c>
      <c r="G134" t="str">
        <f>HYPERLINK("https://www.google.com/maps/search/?api=1&amp;query=Real%20de%20Minas%20184%2C%20Lomas%20del%20Sur%2C%2045653%20Tlajomulco%20de%20Zuniga%2C%20Jal.";"Real de Minas 184, Lomas del Sur, 45653 Tlajomulco de Zuniga, Jal.")</f>
        <v>Real de Minas 184, Lomas del Sur, 45653 Tlajomulco de Zuniga, Jal.</v>
      </c>
      <c r="H134" t="s">
        <v>28</v>
      </c>
      <c r="I134" t="s">
        <v>65</v>
      </c>
      <c r="J134" t="s">
        <v>30</v>
      </c>
      <c r="K134" t="s">
        <v>31</v>
      </c>
      <c r="L134" t="s">
        <v>32</v>
      </c>
      <c r="M134" t="s">
        <v>33</v>
      </c>
      <c r="N134" s="1">
        <v>46047</v>
      </c>
      <c r="O134" s="1">
        <v>46084</v>
      </c>
      <c r="P134" s="1">
        <v>46071</v>
      </c>
      <c r="Q134" s="2">
        <v>34879.32</v>
      </c>
      <c r="R134" t="b">
        <v>0</v>
      </c>
      <c r="S134" s="2">
        <v>40000</v>
      </c>
      <c r="T134" t="s">
        <v>34</v>
      </c>
      <c r="U134" t="s">
        <v>78</v>
      </c>
      <c r="V134" t="s">
        <v>445</v>
      </c>
      <c r="W134" t="s">
        <v>446</v>
      </c>
      <c r="X134">
        <f>Q134*1.16</f>
      </c>
    </row>
    <row r="135">
      <c r="A135" t="str">
        <f>B135</f>
        <v>BNC_HSBC_134</v>
      </c>
      <c r="B135" t="str">
        <f>HYPERLINK("https://drive.google.com/drive/folders/1VLXQkaTNXsWueCfBnM3jdHwNtek0zdp9";"BNC_HSBC_134")</f>
        <v>BNC_HSBC_134</v>
      </c>
      <c r="C135" t="s">
        <v>38</v>
      </c>
      <c r="D135" t="s">
        <v>25</v>
      </c>
      <c r="E135" t="s">
        <v>447</v>
      </c>
      <c r="F135" t="s">
        <v>448</v>
      </c>
      <c r="G135" t="str">
        <f>HYPERLINK("https://www.google.com/maps/search/?api=1&amp;query=Camino%20Real%20221%2C%20Los%20Amiales%2C%2045654%20Tlajomulco%20de%20Zuniga%2C%20Jal.";"Camino Real 221, Los Amiales, 45654 Tlajomulco de Zuniga, Jal.")</f>
        <v>Camino Real 221, Los Amiales, 45654 Tlajomulco de Zuniga, Jal.</v>
      </c>
      <c r="H135" t="s">
        <v>42</v>
      </c>
      <c r="I135" t="s">
        <v>70</v>
      </c>
      <c r="J135" t="s">
        <v>44</v>
      </c>
      <c r="K135" t="s">
        <v>31</v>
      </c>
      <c r="L135" t="s">
        <v>32</v>
      </c>
      <c r="M135" t="s">
        <v>45</v>
      </c>
      <c r="N135" s="1">
        <v>46079</v>
      </c>
      <c r="O135" s="1">
        <v>46117</v>
      </c>
      <c r="P135" s="1">
        <v>46104</v>
      </c>
      <c r="Q135" s="2">
        <v>21628.38</v>
      </c>
      <c r="R135" t="b">
        <v>0</v>
      </c>
      <c r="S135" s="2">
        <v>40000</v>
      </c>
      <c r="T135">
        <v>6726.69</v>
      </c>
      <c r="U135" t="s">
        <v>35</v>
      </c>
      <c r="V135" t="s">
        <v>449</v>
      </c>
      <c r="W135" t="s">
        <v>450</v>
      </c>
      <c r="X135">
        <f>Q135*1.16</f>
      </c>
    </row>
    <row r="136">
      <c r="A136" t="str">
        <f>B136</f>
        <v>PRV_INFVT_135</v>
      </c>
      <c r="B136" t="str">
        <f>HYPERLINK("https://drive.google.com/drive/folders/1HXtSzCZJ5t0unp0VApajuz7h4LXom8SP";"PRV_INFVT_135")</f>
        <v>PRV_INFVT_135</v>
      </c>
      <c r="C136" t="s">
        <v>83</v>
      </c>
      <c r="D136" t="s">
        <v>25</v>
      </c>
      <c r="E136" t="s">
        <v>451</v>
      </c>
      <c r="F136" t="s">
        <v>452</v>
      </c>
      <c r="G136" t="str">
        <f>HYPERLINK("https://www.google.com/maps/search/?api=1&amp;query=Rinconada%20del%20Sol%20258%2C%20Villas%20de%20la%20Hacienda%2C%2045645%20Tlajomulco%20de%20Zuniga%2C%20Jal.";"Rinconada del Sol 258, Villas de la Hacienda, 45645 Tlajomulco de Zuniga, Jal.")</f>
        <v>Rinconada del Sol 258, Villas de la Hacienda, 45645 Tlajomulco de Zuniga, Jal.</v>
      </c>
      <c r="H136" t="s">
        <v>49</v>
      </c>
      <c r="I136" t="s">
        <v>76</v>
      </c>
      <c r="J136" t="s">
        <v>51</v>
      </c>
      <c r="K136" t="s">
        <v>31</v>
      </c>
      <c r="L136" t="s">
        <v>32</v>
      </c>
      <c r="M136" t="s">
        <v>52</v>
      </c>
      <c r="N136" s="1">
        <v>46108</v>
      </c>
      <c r="O136" s="1">
        <v>46147</v>
      </c>
      <c r="P136" s="1">
        <v>46134</v>
      </c>
      <c r="Q136" s="2">
        <v>29454.69</v>
      </c>
      <c r="R136" t="b">
        <v>0</v>
      </c>
      <c r="S136" s="2">
        <v>40000</v>
      </c>
      <c r="T136">
        <v>4247.07</v>
      </c>
      <c r="U136" t="s">
        <v>46</v>
      </c>
      <c r="W136" t="s">
        <v>453</v>
      </c>
      <c r="X136">
        <f>Q136*1.16</f>
      </c>
    </row>
    <row r="137">
      <c r="A137" t="str">
        <f>B137</f>
        <v>PIC_TLAJO_136</v>
      </c>
      <c r="B137" t="str">
        <f>HYPERLINK("https://drive.google.com/drive/folders/17chuEQr5s3ib4enbHyWNhzNrLgFzmiVn?usp=drive_link";"PIC_TLAJO_136")</f>
        <v>PIC_TLAJO_136</v>
      </c>
      <c r="C137" t="s">
        <v>24</v>
      </c>
      <c r="D137" t="s">
        <v>25</v>
      </c>
      <c r="E137" t="s">
        <v>454</v>
      </c>
      <c r="F137" t="s">
        <v>455</v>
      </c>
      <c r="G137" t="str">
        <f>HYPERLINK("https://www.google.com/maps/search/?api=1&amp;query=Hacienda%20Vieja%20295%2C%20El%20Palomar%2C%2045640%20Tlajomulco%20de%20Zuniga%2C%20Jal.";"Hacienda Vieja 295, El Palomar, 45640 Tlajomulco de Zuniga, Jal.")</f>
        <v>Hacienda Vieja 295, El Palomar, 45640 Tlajomulco de Zuniga, Jal.</v>
      </c>
      <c r="H137" t="s">
        <v>58</v>
      </c>
      <c r="I137" t="s">
        <v>81</v>
      </c>
      <c r="J137" t="s">
        <v>60</v>
      </c>
      <c r="K137" t="s">
        <v>31</v>
      </c>
      <c r="L137" t="s">
        <v>32</v>
      </c>
      <c r="M137" t="s">
        <v>61</v>
      </c>
      <c r="N137" s="1">
        <v>46113</v>
      </c>
      <c r="O137" s="1">
        <v>46153</v>
      </c>
      <c r="P137" s="1">
        <v>46140</v>
      </c>
      <c r="Q137" s="2">
        <v>25673.72</v>
      </c>
      <c r="R137" t="b">
        <v>1</v>
      </c>
      <c r="S137" s="2">
        <v>80000</v>
      </c>
      <c r="T137">
        <v>7417.57</v>
      </c>
      <c r="U137" t="s">
        <v>53</v>
      </c>
      <c r="V137" t="s">
        <v>456</v>
      </c>
      <c r="X137">
        <f>Q137*1.16</f>
      </c>
    </row>
    <row r="138">
      <c r="A138" t="str">
        <f>B138</f>
        <v>PRV_INFVT_137</v>
      </c>
      <c r="B138" t="str">
        <f>HYPERLINK("https://drive.google.com/drive/folders/1rrUnNh7fqyRKHNTii8Rsuiy9Pxut7gpW";"PRV_INFVT_137")</f>
        <v>PRV_INFVT_137</v>
      </c>
      <c r="C138" t="s">
        <v>83</v>
      </c>
      <c r="D138" t="s">
        <v>25</v>
      </c>
      <c r="E138" t="s">
        <v>457</v>
      </c>
      <c r="F138" t="s">
        <v>458</v>
      </c>
      <c r="G138" t="str">
        <f>HYPERLINK("https://www.google.com/maps/search/?api=1&amp;query=Portal%20de%20San%20Juan%20332%2C%20Santa%20Fe%2C%2045653%20Tlajomulco%20de%20Zuniga%2C%20Jal.";"Portal de San Juan 332, Santa Fe, 45653 Tlajomulco de Zuniga, Jal.")</f>
        <v>Portal de San Juan 332, Santa Fe, 45653 Tlajomulco de Zuniga, Jal.</v>
      </c>
      <c r="H138" t="s">
        <v>28</v>
      </c>
      <c r="I138" t="s">
        <v>29</v>
      </c>
      <c r="J138" t="s">
        <v>30</v>
      </c>
      <c r="K138" t="s">
        <v>31</v>
      </c>
      <c r="L138" t="s">
        <v>32</v>
      </c>
      <c r="M138" t="s">
        <v>66</v>
      </c>
      <c r="N138" s="1">
        <v>46144</v>
      </c>
      <c r="O138" s="1">
        <v>46185</v>
      </c>
      <c r="P138" s="1">
        <v>46172</v>
      </c>
      <c r="Q138" s="2">
        <v>12745.09</v>
      </c>
      <c r="R138" t="b">
        <v>0</v>
      </c>
      <c r="S138" s="2">
        <v>40000</v>
      </c>
      <c r="T138" t="s">
        <v>34</v>
      </c>
      <c r="U138" t="s">
        <v>62</v>
      </c>
      <c r="V138" t="s">
        <v>459</v>
      </c>
      <c r="W138" t="s">
        <v>460</v>
      </c>
      <c r="X138">
        <f>Q138*1.16</f>
      </c>
    </row>
    <row r="139">
      <c r="A139" t="str">
        <f>B139</f>
        <v>PRV_INFVT_138</v>
      </c>
      <c r="B139" t="str">
        <f>HYPERLINK("https://drive.google.com/drive/folders/1QsMTG0p9LBnNLvMDwv3BGXrzHxDZJbPx";"PRV_INFVT_138")</f>
        <v>PRV_INFVT_138</v>
      </c>
      <c r="C139" t="s">
        <v>83</v>
      </c>
      <c r="D139" t="s">
        <v>25</v>
      </c>
      <c r="E139" t="s">
        <v>461</v>
      </c>
      <c r="F139" t="s">
        <v>462</v>
      </c>
      <c r="G139" t="str">
        <f>HYPERLINK("https://www.google.com/maps/search/?api=1&amp;query=Valle%20de%20Toluca%20369%2C%20Hacienda%20Santa%20Fe%2C%2045654%20Tlajomulco%20de%20Zuniga%2C%20Jal.";"Valle de Toluca 369, Hacienda Santa Fe, 45654 Tlajomulco de Zuniga, Jal.")</f>
        <v>Valle de Toluca 369, Hacienda Santa Fe, 45654 Tlajomulco de Zuniga, Jal.</v>
      </c>
      <c r="H139" t="s">
        <v>42</v>
      </c>
      <c r="I139" t="s">
        <v>43</v>
      </c>
      <c r="J139" t="s">
        <v>44</v>
      </c>
      <c r="K139" t="s">
        <v>31</v>
      </c>
      <c r="L139" t="s">
        <v>32</v>
      </c>
      <c r="M139" t="s">
        <v>71</v>
      </c>
      <c r="N139" s="1">
        <v>46176</v>
      </c>
      <c r="P139" s="1">
        <v>46205</v>
      </c>
      <c r="Q139" s="2">
        <v>24472.22</v>
      </c>
      <c r="R139" t="b">
        <v>0</v>
      </c>
      <c r="S139" s="2">
        <v>40000</v>
      </c>
      <c r="T139">
        <v>3440.9</v>
      </c>
      <c r="U139" t="s">
        <v>67</v>
      </c>
      <c r="W139" t="s">
        <v>463</v>
      </c>
      <c r="X139">
        <f>Q139*1.16</f>
      </c>
    </row>
    <row r="140">
      <c r="A140" t="str">
        <f>B140</f>
        <v>PIC_TLAJO_139</v>
      </c>
      <c r="B140" t="str">
        <f>HYPERLINK("https://drive.google.com/drive/folders/1V65ahUfB8j484xLnhh26MwnVPhu26XbW";"PIC_TLAJO_139")</f>
        <v>PIC_TLAJO_139</v>
      </c>
      <c r="C140" t="s">
        <v>24</v>
      </c>
      <c r="D140" t="s">
        <v>426</v>
      </c>
      <c r="E140" t="s">
        <v>464</v>
      </c>
      <c r="F140" t="s">
        <v>465</v>
      </c>
      <c r="G140" t="str">
        <f>HYPERLINK("https://www.google.com/maps/search/?api=1&amp;query=Cerro%20Gordo%20406%2C%20Chulavista%2C%2045645%20Tlajomulco%20de%20Zuniga%2C%20Jal.";"Cerro Gordo 406, Chulavista, 45645 Tlajomulco de Zuniga, Jal.")</f>
        <v>Cerro Gordo 406, Chulavista, 45645 Tlajomulco de Zuniga, Jal.</v>
      </c>
      <c r="H140" t="s">
        <v>49</v>
      </c>
      <c r="I140" t="s">
        <v>50</v>
      </c>
      <c r="J140" t="s">
        <v>51</v>
      </c>
      <c r="K140" t="s">
        <v>31</v>
      </c>
      <c r="L140" t="s">
        <v>32</v>
      </c>
      <c r="M140" t="s">
        <v>77</v>
      </c>
      <c r="N140" s="1">
        <v>46026</v>
      </c>
      <c r="Q140" s="2">
        <v>20539.87</v>
      </c>
      <c r="R140" t="b">
        <v>0</v>
      </c>
      <c r="S140" s="2">
        <v>40000</v>
      </c>
      <c r="T140">
        <v>8926.86</v>
      </c>
      <c r="U140" t="s">
        <v>72</v>
      </c>
      <c r="X140">
        <f>Q140*1.16</f>
      </c>
    </row>
    <row r="141">
      <c r="A141" t="str">
        <f>B141</f>
        <v>PIC_TLAJO_140</v>
      </c>
      <c r="B141" t="str">
        <f>HYPERLINK("https://drive.google.com/drive/folders/12PYQxcT5x4dPDGDvboHvzJdBQ5hamzou";"PIC_TLAJO_140")</f>
        <v>PIC_TLAJO_140</v>
      </c>
      <c r="C141" t="s">
        <v>24</v>
      </c>
      <c r="D141" t="s">
        <v>25</v>
      </c>
      <c r="E141" t="s">
        <v>466</v>
      </c>
      <c r="F141" t="s">
        <v>467</v>
      </c>
      <c r="G141" t="str">
        <f>HYPERLINK("https://www.google.com/maps/search/?api=1&amp;query=Prado%20Sur%20443%2C%20LOMAS%2C%2045640%20Tlajomulco%20de%20Zuniga%2C%20Jal.";"Prado Sur 443, LOMAS, 45640 Tlajomulco de Zuniga, Jal.")</f>
        <v>Prado Sur 443, LOMAS, 45640 Tlajomulco de Zuniga, Jal.</v>
      </c>
      <c r="H141" t="s">
        <v>58</v>
      </c>
      <c r="I141" t="s">
        <v>59</v>
      </c>
      <c r="J141" t="s">
        <v>60</v>
      </c>
      <c r="K141" t="s">
        <v>31</v>
      </c>
      <c r="L141" t="s">
        <v>32</v>
      </c>
      <c r="M141" t="s">
        <v>82</v>
      </c>
      <c r="N141" s="1">
        <v>46058</v>
      </c>
      <c r="O141" s="1">
        <v>46102</v>
      </c>
      <c r="P141" s="1">
        <v>46089</v>
      </c>
      <c r="Q141" s="2">
        <v>31077.48</v>
      </c>
      <c r="R141" t="b">
        <v>0</v>
      </c>
      <c r="S141" s="2">
        <v>40000</v>
      </c>
      <c r="T141">
        <v>8327.54</v>
      </c>
      <c r="U141" t="s">
        <v>78</v>
      </c>
      <c r="V141" t="s">
        <v>468</v>
      </c>
      <c r="X141">
        <f>Q141*1.16</f>
      </c>
    </row>
    <row r="142">
      <c r="A142" t="str">
        <f>B142</f>
        <v>PIC_TLAJO_141</v>
      </c>
      <c r="B142" t="str">
        <f>HYPERLINK("https://drive.google.com/drive/folders/1H6sPXZQasY4oeF3ESXv9WJtj78EeyZP6?usp=drive_link";"PIC_TLAJO_141")</f>
        <v>PIC_TLAJO_141</v>
      </c>
      <c r="C142" t="s">
        <v>24</v>
      </c>
      <c r="D142" t="s">
        <v>128</v>
      </c>
      <c r="E142" t="s">
        <v>469</v>
      </c>
      <c r="F142" t="s">
        <v>470</v>
      </c>
      <c r="G142" t="str">
        <f>HYPERLINK("https://www.google.com/maps/search/?api=1&amp;query=Av.%20Temuco%20480%2C%20Lomas%20del%20Sur%2C%2045653%20Tlajomulco%20de%20Zuniga%2C%20Jal.";"Av. Temuco 480, Lomas del Sur, 45653 Tlajomulco de Zuniga, Jal.")</f>
        <v>Av. Temuco 480, Lomas del Sur, 45653 Tlajomulco de Zuniga, Jal.</v>
      </c>
      <c r="H142" t="s">
        <v>28</v>
      </c>
      <c r="I142" t="s">
        <v>65</v>
      </c>
      <c r="J142" t="s">
        <v>30</v>
      </c>
      <c r="K142" t="s">
        <v>31</v>
      </c>
      <c r="L142" t="s">
        <v>32</v>
      </c>
      <c r="M142" t="s">
        <v>86</v>
      </c>
      <c r="N142" s="1">
        <v>46087</v>
      </c>
      <c r="R142" t="b">
        <v>0</v>
      </c>
      <c r="S142" s="2">
        <v>40000</v>
      </c>
      <c r="T142" t="s">
        <v>34</v>
      </c>
      <c r="U142" t="s">
        <v>35</v>
      </c>
      <c r="X142">
        <f>Q142*1.16</f>
      </c>
    </row>
    <row r="143">
      <c r="A143" t="str">
        <f>B143</f>
        <v>BNC_HSBC_142</v>
      </c>
      <c r="B143" t="str">
        <f>HYPERLINK("https://drive.google.com/drive/folders/1M858Hcv25eMwPyLdwZ9vdp19sCdchaTJ";"BNC_HSBC_142")</f>
        <v>BNC_HSBC_142</v>
      </c>
      <c r="C143" t="s">
        <v>38</v>
      </c>
      <c r="D143" t="s">
        <v>39</v>
      </c>
      <c r="E143" t="s">
        <v>471</v>
      </c>
      <c r="F143" t="s">
        <v>472</v>
      </c>
      <c r="G143" t="str">
        <f>HYPERLINK("https://www.google.com/maps/search/?api=1&amp;query=Cerro%20de%20la%20Cruz%20117%2C%20Los%20Amiales%2C%2045654%20Tlajomulco%20de%20Zuniga%2C%20Jal.";"Cerro de la Cruz 117, Los Amiales, 45654 Tlajomulco de Zuniga, Jal.")</f>
        <v>Cerro de la Cruz 117, Los Amiales, 45654 Tlajomulco de Zuniga, Jal.</v>
      </c>
      <c r="H143" t="s">
        <v>42</v>
      </c>
      <c r="I143" t="s">
        <v>70</v>
      </c>
      <c r="J143" t="s">
        <v>44</v>
      </c>
      <c r="K143" t="s">
        <v>31</v>
      </c>
      <c r="L143" t="s">
        <v>32</v>
      </c>
      <c r="M143" t="s">
        <v>89</v>
      </c>
      <c r="N143" s="1">
        <v>46119</v>
      </c>
      <c r="Q143" s="2">
        <v>16161.64</v>
      </c>
      <c r="R143" t="b">
        <v>0</v>
      </c>
      <c r="S143" s="2">
        <v>40000</v>
      </c>
      <c r="T143">
        <v>6599.61</v>
      </c>
      <c r="U143" t="s">
        <v>46</v>
      </c>
      <c r="X143">
        <f>Q143*1.16</f>
      </c>
    </row>
    <row r="144">
      <c r="A144" t="str">
        <f>B144</f>
        <v>BNC_HSBC_143</v>
      </c>
      <c r="B144" t="str">
        <f>HYPERLINK("https://drive.google.com/drive/folders/1XmiSHNUkAARp3dCSViq0xNpHqaD5HjAu";"BNC_HSBC_143")</f>
        <v>BNC_HSBC_143</v>
      </c>
      <c r="C144" t="s">
        <v>38</v>
      </c>
      <c r="D144" t="s">
        <v>25</v>
      </c>
      <c r="E144" t="s">
        <v>473</v>
      </c>
      <c r="F144" t="s">
        <v>474</v>
      </c>
      <c r="G144" t="str">
        <f>HYPERLINK("https://www.google.com/maps/search/?api=1&amp;query=Cerro%20la%20Atalaya%20154%2C%20Villas%20de%20la%20Hacienda%2C%2045645%20Tlajomulco%20de%20Zuniga%2C%20Jal.";"Cerro la Atalaya 154, Villas de la Hacienda, 45645 Tlajomulco de Zuniga, Jal.")</f>
        <v>Cerro la Atalaya 154, Villas de la Hacienda, 45645 Tlajomulco de Zuniga, Jal.</v>
      </c>
      <c r="H144" t="s">
        <v>49</v>
      </c>
      <c r="I144" t="s">
        <v>76</v>
      </c>
      <c r="J144" t="s">
        <v>51</v>
      </c>
      <c r="K144" t="s">
        <v>31</v>
      </c>
      <c r="L144" t="s">
        <v>32</v>
      </c>
      <c r="M144" t="s">
        <v>94</v>
      </c>
      <c r="N144" s="1">
        <v>46150</v>
      </c>
      <c r="O144" s="1">
        <v>46197</v>
      </c>
      <c r="P144" s="1">
        <v>46164</v>
      </c>
      <c r="Q144" s="2">
        <v>23120.59</v>
      </c>
      <c r="R144" t="b">
        <v>0</v>
      </c>
      <c r="S144" s="2">
        <v>40000</v>
      </c>
      <c r="T144">
        <v>6948.45</v>
      </c>
      <c r="U144" t="s">
        <v>53</v>
      </c>
      <c r="V144" t="s">
        <v>475</v>
      </c>
      <c r="W144" t="s">
        <v>476</v>
      </c>
      <c r="X144">
        <f>Q144*1.16</f>
      </c>
    </row>
    <row r="145">
      <c r="A145" t="str">
        <f>B145</f>
        <v>PIC_TLAJO_144</v>
      </c>
      <c r="B145" t="str">
        <f>HYPERLINK("https://drive.google.com/drive/folders/1TKhykYyaYYXKry9GhcfBsZ66pchvD7hD";"PIC_TLAJO_144")</f>
        <v>PIC_TLAJO_144</v>
      </c>
      <c r="C145" t="s">
        <v>24</v>
      </c>
      <c r="D145" t="s">
        <v>240</v>
      </c>
      <c r="E145" t="s">
        <v>477</v>
      </c>
      <c r="F145" t="s">
        <v>478</v>
      </c>
      <c r="G145" t="str">
        <f>HYPERLINK("https://www.google.com/maps/search/?api=1&amp;query=Monte%20Cabra%20191%2C%20El%20Palomar%2C%2045640%20Tlajomulco%20de%20Zuniga%2C%20Jal.";"Monte Cabra 191, El Palomar, 45640 Tlajomulco de Zuniga, Jal.")</f>
        <v>Monte Cabra 191, El Palomar, 45640 Tlajomulco de Zuniga, Jal.</v>
      </c>
      <c r="H145" t="s">
        <v>58</v>
      </c>
      <c r="I145" t="s">
        <v>81</v>
      </c>
      <c r="J145" t="s">
        <v>60</v>
      </c>
      <c r="K145" t="s">
        <v>31</v>
      </c>
      <c r="L145" t="s">
        <v>32</v>
      </c>
      <c r="M145" t="s">
        <v>99</v>
      </c>
      <c r="N145" s="1">
        <v>46182</v>
      </c>
      <c r="R145" t="b">
        <v>0</v>
      </c>
      <c r="S145" s="2">
        <v>40000</v>
      </c>
      <c r="T145">
        <v>7817.75</v>
      </c>
      <c r="U145" t="s">
        <v>62</v>
      </c>
      <c r="X145">
        <f>Q145*1.16</f>
      </c>
    </row>
    <row r="146">
      <c r="A146" t="str">
        <f>B146</f>
        <v>BNC_HSBC_145</v>
      </c>
      <c r="B146" t="str">
        <f>HYPERLINK("https://drive.google.com/drive/folders/1Dz2a7cDyaztJZaXNCQJnhYW4wnRS8TiZ";"BNC_HSBC_145")</f>
        <v>BNC_HSBC_145</v>
      </c>
      <c r="C146" t="s">
        <v>38</v>
      </c>
      <c r="D146" t="s">
        <v>25</v>
      </c>
      <c r="E146" t="s">
        <v>479</v>
      </c>
      <c r="F146" t="s">
        <v>480</v>
      </c>
      <c r="G146" t="str">
        <f>HYPERLINK("https://www.google.com/maps/search/?api=1&amp;query=Cerro%20de%20las%207%20Gotas%20228%2C%20Santa%20Fe%2C%2045653%20Tlajomulco%20de%20Zuniga%2C%20Jal.";"Cerro de las 7 Gotas 228, Santa Fe, 45653 Tlajomulco de Zuniga, Jal.")</f>
        <v>Cerro de las 7 Gotas 228, Santa Fe, 45653 Tlajomulco de Zuniga, Jal.</v>
      </c>
      <c r="H146" t="s">
        <v>28</v>
      </c>
      <c r="I146" t="s">
        <v>29</v>
      </c>
      <c r="J146" t="s">
        <v>30</v>
      </c>
      <c r="K146" t="s">
        <v>31</v>
      </c>
      <c r="L146" t="s">
        <v>32</v>
      </c>
      <c r="M146" t="s">
        <v>33</v>
      </c>
      <c r="N146" s="1">
        <v>46032</v>
      </c>
      <c r="O146" s="1">
        <v>46081</v>
      </c>
      <c r="P146" s="1">
        <v>46048</v>
      </c>
      <c r="Q146" s="2">
        <v>48072.24</v>
      </c>
      <c r="R146" t="b">
        <v>1</v>
      </c>
      <c r="S146" s="2">
        <v>80000</v>
      </c>
      <c r="T146" t="s">
        <v>34</v>
      </c>
      <c r="U146" t="s">
        <v>67</v>
      </c>
      <c r="V146" t="s">
        <v>481</v>
      </c>
      <c r="W146" t="s">
        <v>482</v>
      </c>
      <c r="X146">
        <f>Q146*1.16</f>
      </c>
    </row>
    <row r="147">
      <c r="A147" t="str">
        <f>B147</f>
        <v>PIC_TLAJO_146</v>
      </c>
      <c r="B147" t="str">
        <f>HYPERLINK("https://drive.google.com/drive/folders/1JH4d3L0xVrT4Vy8rPHXmMwobLfptG4gq?usp=drive_link";"PIC_TLAJO_146")</f>
        <v>PIC_TLAJO_146</v>
      </c>
      <c r="C147" t="s">
        <v>24</v>
      </c>
      <c r="D147" t="s">
        <v>240</v>
      </c>
      <c r="E147" t="s">
        <v>483</v>
      </c>
      <c r="F147" t="s">
        <v>484</v>
      </c>
      <c r="G147" t="str">
        <f>HYPERLINK("https://www.google.com/maps/search/?api=1&amp;query=Esteli%20265%2C%20Hacienda%20Santa%20Fe%2C%2045654%20Tlajomulco%20de%20Zuniga%2C%20Jal.";"Esteli 265, Hacienda Santa Fe, 45654 Tlajomulco de Zuniga, Jal.")</f>
        <v>Esteli 265, Hacienda Santa Fe, 45654 Tlajomulco de Zuniga, Jal.</v>
      </c>
      <c r="H147" t="s">
        <v>42</v>
      </c>
      <c r="I147" t="s">
        <v>43</v>
      </c>
      <c r="J147" t="s">
        <v>44</v>
      </c>
      <c r="K147" t="s">
        <v>31</v>
      </c>
      <c r="L147" t="s">
        <v>32</v>
      </c>
      <c r="M147" t="s">
        <v>45</v>
      </c>
      <c r="N147" s="1">
        <v>46064</v>
      </c>
      <c r="R147" t="b">
        <v>0</v>
      </c>
      <c r="S147" s="2">
        <v>40000</v>
      </c>
      <c r="T147">
        <v>2761.12</v>
      </c>
      <c r="U147" t="s">
        <v>72</v>
      </c>
      <c r="X147">
        <f>Q147*1.16</f>
      </c>
    </row>
    <row r="148">
      <c r="A148" t="str">
        <f>B148</f>
        <v>PRV_INFVT_147</v>
      </c>
      <c r="B148" t="str">
        <f>HYPERLINK("https://drive.google.com/drive/folders/1yhqnzxkWy3SXaxF0amSDdyJVGR4cRTeF";"PRV_INFVT_147")</f>
        <v>PRV_INFVT_147</v>
      </c>
      <c r="C148" t="s">
        <v>83</v>
      </c>
      <c r="D148" t="s">
        <v>100</v>
      </c>
      <c r="E148" t="s">
        <v>485</v>
      </c>
      <c r="F148" t="s">
        <v>486</v>
      </c>
      <c r="G148" t="str">
        <f>HYPERLINK("https://www.google.com/maps/search/?api=1&amp;query=Montevideo%20302%2C%20Chulavista%2C%2045645%20Tlajomulco%20de%20Zuniga%2C%20Jal.";"Montevideo 302, Chulavista, 45645 Tlajomulco de Zuniga, Jal.")</f>
        <v>Montevideo 302, Chulavista, 45645 Tlajomulco de Zuniga, Jal.</v>
      </c>
      <c r="H148" t="s">
        <v>49</v>
      </c>
      <c r="I148" t="s">
        <v>50</v>
      </c>
      <c r="J148" t="s">
        <v>51</v>
      </c>
      <c r="K148" t="s">
        <v>31</v>
      </c>
      <c r="L148" t="s">
        <v>32</v>
      </c>
      <c r="M148" t="s">
        <v>52</v>
      </c>
      <c r="N148" s="1">
        <v>46093</v>
      </c>
      <c r="O148" s="1">
        <v>46144</v>
      </c>
      <c r="P148" s="1">
        <v>46111</v>
      </c>
      <c r="Q148" s="2">
        <v>28223.43</v>
      </c>
      <c r="R148" t="b">
        <v>0</v>
      </c>
      <c r="S148" s="2">
        <v>40000</v>
      </c>
      <c r="T148">
        <v>7770.63</v>
      </c>
      <c r="U148" t="s">
        <v>78</v>
      </c>
      <c r="W148" t="s">
        <v>487</v>
      </c>
      <c r="X148">
        <f>Q148*1.16</f>
      </c>
    </row>
    <row r="149">
      <c r="A149" t="str">
        <f>B149</f>
        <v>BNC_HSBC_148</v>
      </c>
      <c r="B149" t="str">
        <f>HYPERLINK("https://drive.google.com/drive/folders/1WndjR7hMBWhqDAS6QMAFQnysBLCETMMS";"BNC_HSBC_148")</f>
        <v>BNC_HSBC_148</v>
      </c>
      <c r="C149" t="s">
        <v>38</v>
      </c>
      <c r="D149" t="s">
        <v>39</v>
      </c>
      <c r="E149" t="s">
        <v>488</v>
      </c>
      <c r="F149" t="s">
        <v>489</v>
      </c>
      <c r="G149" t="str">
        <f>HYPERLINK("https://www.google.com/maps/search/?api=1&amp;query=Av.%20Bogota%20339%2C%20LOMAS%2C%2045640%20Tlajomulco%20de%20Zuniga%2C%20Jal.";"Av. Bogota 339, LOMAS, 45640 Tlajomulco de Zuniga, Jal.")</f>
        <v>Av. Bogota 339, LOMAS, 45640 Tlajomulco de Zuniga, Jal.</v>
      </c>
      <c r="H149" t="s">
        <v>58</v>
      </c>
      <c r="I149" t="s">
        <v>59</v>
      </c>
      <c r="J149" t="s">
        <v>60</v>
      </c>
      <c r="K149" t="s">
        <v>31</v>
      </c>
      <c r="L149" t="s">
        <v>32</v>
      </c>
      <c r="M149" t="s">
        <v>61</v>
      </c>
      <c r="N149" s="1">
        <v>46125</v>
      </c>
      <c r="Q149" s="2">
        <v>37982.33</v>
      </c>
      <c r="R149" t="b">
        <v>0</v>
      </c>
      <c r="S149" s="2">
        <v>40000</v>
      </c>
      <c r="T149">
        <v>5988.87</v>
      </c>
      <c r="U149" t="s">
        <v>35</v>
      </c>
      <c r="X149">
        <f>Q149*1.16</f>
      </c>
    </row>
    <row r="150">
      <c r="A150" t="str">
        <f>B150</f>
        <v>PIC_TLAJO_149</v>
      </c>
      <c r="B150" t="str">
        <f>HYPERLINK("https://drive.google.com/drive/folders/1xDtDmxNBwuNtzQqbPrEaMbWnCdvxMHzf";"PIC_TLAJO_149")</f>
        <v>PIC_TLAJO_149</v>
      </c>
      <c r="C150" t="s">
        <v>24</v>
      </c>
      <c r="D150" t="s">
        <v>128</v>
      </c>
      <c r="E150" t="s">
        <v>490</v>
      </c>
      <c r="F150" t="s">
        <v>491</v>
      </c>
      <c r="G150" t="str">
        <f>HYPERLINK("https://www.google.com/maps/search/?api=1&amp;query=Blvd.%20Republica%20de%20Honduras%20376%2C%20Lomas%20del%20Sur%2C%2045653%20Tlajomulco%20de%20Zuniga%2C%20Jal.";"Blvd. Republica de Honduras 376, Lomas del Sur, 45653 Tlajomulco de Zuniga, Jal.")</f>
        <v>Blvd. Republica de Honduras 376, Lomas del Sur, 45653 Tlajomulco de Zuniga, Jal.</v>
      </c>
      <c r="H150" t="s">
        <v>28</v>
      </c>
      <c r="I150" t="s">
        <v>65</v>
      </c>
      <c r="J150" t="s">
        <v>30</v>
      </c>
      <c r="K150" t="s">
        <v>31</v>
      </c>
      <c r="L150" t="s">
        <v>32</v>
      </c>
      <c r="M150" t="s">
        <v>66</v>
      </c>
      <c r="N150" s="1">
        <v>46156</v>
      </c>
      <c r="R150" t="b">
        <v>0</v>
      </c>
      <c r="S150" s="2">
        <v>40000</v>
      </c>
      <c r="T150" t="s">
        <v>34</v>
      </c>
      <c r="U150" t="s">
        <v>46</v>
      </c>
      <c r="X150">
        <f>Q150*1.16</f>
      </c>
    </row>
    <row r="151">
      <c r="A151" t="str">
        <f>B151</f>
        <v>PIC_TLAJO_150</v>
      </c>
      <c r="B151" t="str">
        <f>HYPERLINK("https://drive.google.com/drive/folders/11cxCzKxkxyKihWyTgmR5BtwA2n2FMqwP";"PIC_TLAJO_150")</f>
        <v>PIC_TLAJO_150</v>
      </c>
      <c r="C151" t="s">
        <v>24</v>
      </c>
      <c r="D151" t="s">
        <v>25</v>
      </c>
      <c r="E151" t="s">
        <v>492</v>
      </c>
      <c r="F151" t="s">
        <v>493</v>
      </c>
      <c r="G151" t="str">
        <f>HYPERLINK("https://www.google.com/maps/search/?api=1&amp;query=Paseo%20de%20los%20Agaves%20413%2C%20Los%20Amiales%2C%2045654%20Tlajomulco%20de%20Zuniga%2C%20Jal.";"Paseo de los Agaves 413, Los Amiales, 45654 Tlajomulco de Zuniga, Jal.")</f>
        <v>Paseo de los Agaves 413, Los Amiales, 45654 Tlajomulco de Zuniga, Jal.</v>
      </c>
      <c r="H151" t="s">
        <v>42</v>
      </c>
      <c r="I151" t="s">
        <v>70</v>
      </c>
      <c r="J151" t="s">
        <v>44</v>
      </c>
      <c r="K151" t="s">
        <v>31</v>
      </c>
      <c r="L151" t="s">
        <v>32</v>
      </c>
      <c r="M151" t="s">
        <v>71</v>
      </c>
      <c r="N151" s="1">
        <v>46188</v>
      </c>
      <c r="O151" s="1">
        <v>46242</v>
      </c>
      <c r="P151" s="1">
        <v>46209</v>
      </c>
      <c r="Q151" s="2">
        <v>12512.9</v>
      </c>
      <c r="R151" t="b">
        <v>0</v>
      </c>
      <c r="S151" s="2">
        <v>40000</v>
      </c>
      <c r="T151">
        <v>6012.5</v>
      </c>
      <c r="U151" t="s">
        <v>53</v>
      </c>
      <c r="W151" t="s">
        <v>494</v>
      </c>
      <c r="X151">
        <f>Q151*1.16</f>
      </c>
    </row>
    <row r="152">
      <c r="A152" t="str">
        <f>B152</f>
        <v>PIC_TLAJO_151</v>
      </c>
      <c r="B152" t="str">
        <f>HYPERLINK("https://drive.google.com/drive/folders/1kpsyhWDTRELTNkMntfB0uvqKUELst41F?usp=drive_link";"PIC_TLAJO_151")</f>
        <v>PIC_TLAJO_151</v>
      </c>
      <c r="C152" t="s">
        <v>24</v>
      </c>
      <c r="D152" t="s">
        <v>426</v>
      </c>
      <c r="E152" t="s">
        <v>495</v>
      </c>
      <c r="F152" t="s">
        <v>496</v>
      </c>
      <c r="G152" t="str">
        <f>HYPERLINK("https://www.google.com/maps/search/?api=1&amp;query=Volcan%20Paricutin%20450%2C%20Villas%20de%20la%20Hacienda%2C%2045645%20Tlajomulco%20de%20Zuniga%2C%20Jal.";"Volcan Paricutin 450, Villas de la Hacienda, 45645 Tlajomulco de Zuniga, Jal.")</f>
        <v>Volcan Paricutin 450, Villas de la Hacienda, 45645 Tlajomulco de Zuniga, Jal.</v>
      </c>
      <c r="H152" t="s">
        <v>49</v>
      </c>
      <c r="I152" t="s">
        <v>76</v>
      </c>
      <c r="J152" t="s">
        <v>51</v>
      </c>
      <c r="K152" t="s">
        <v>31</v>
      </c>
      <c r="L152" t="s">
        <v>32</v>
      </c>
      <c r="M152" t="s">
        <v>77</v>
      </c>
      <c r="N152" s="1">
        <v>46038</v>
      </c>
      <c r="Q152" s="2">
        <v>25242.72</v>
      </c>
      <c r="R152" t="b">
        <v>0</v>
      </c>
      <c r="S152" s="2">
        <v>40000</v>
      </c>
      <c r="T152">
        <v>7926.75</v>
      </c>
      <c r="U152" t="s">
        <v>62</v>
      </c>
      <c r="X152">
        <f>Q152*1.16</f>
      </c>
    </row>
    <row r="153">
      <c r="A153" t="str">
        <f>B153</f>
        <v>PRV_INFVT_152</v>
      </c>
      <c r="B153" t="str">
        <f>HYPERLINK("https://drive.google.com/drive/folders/1pyBQEk6hJ50WtxEjxzv6RVXPgjSsRUHC";"PRV_INFVT_152")</f>
        <v>PRV_INFVT_152</v>
      </c>
      <c r="C153" t="s">
        <v>83</v>
      </c>
      <c r="D153" t="s">
        <v>100</v>
      </c>
      <c r="E153" t="s">
        <v>497</v>
      </c>
      <c r="F153" t="s">
        <v>498</v>
      </c>
      <c r="G153" t="str">
        <f>HYPERLINK("https://www.google.com/maps/search/?api=1&amp;query=Loma%20Dorada%20487%2C%20El%20Palomar%2C%2045640%20Tlajomulco%20de%20Zuniga%2C%20Jal.";"Loma Dorada 487, El Palomar, 45640 Tlajomulco de Zuniga, Jal.")</f>
        <v>Loma Dorada 487, El Palomar, 45640 Tlajomulco de Zuniga, Jal.</v>
      </c>
      <c r="H153" t="s">
        <v>58</v>
      </c>
      <c r="I153" t="s">
        <v>81</v>
      </c>
      <c r="J153" t="s">
        <v>60</v>
      </c>
      <c r="K153" t="s">
        <v>31</v>
      </c>
      <c r="L153" t="s">
        <v>32</v>
      </c>
      <c r="M153" t="s">
        <v>82</v>
      </c>
      <c r="N153" s="1">
        <v>46070</v>
      </c>
      <c r="O153" s="1">
        <v>46126</v>
      </c>
      <c r="P153" s="1">
        <v>46093</v>
      </c>
      <c r="Q153" s="2">
        <v>30640.66</v>
      </c>
      <c r="R153" t="b">
        <v>0</v>
      </c>
      <c r="S153" s="2">
        <v>40000</v>
      </c>
      <c r="T153">
        <v>4639.15</v>
      </c>
      <c r="U153" t="s">
        <v>67</v>
      </c>
      <c r="V153" t="s">
        <v>499</v>
      </c>
      <c r="X153">
        <f>Q153*1.16</f>
      </c>
    </row>
    <row r="154">
      <c r="A154" t="str">
        <f>B154</f>
        <v>BNC_HSBC_153</v>
      </c>
      <c r="B154" t="str">
        <f>HYPERLINK("https://drive.google.com/drive/folders/1acvSHrVZ3jxo2nDmYVsj6aUz5ZVfEUEm";"BNC_HSBC_153")</f>
        <v>BNC_HSBC_153</v>
      </c>
      <c r="C154" t="s">
        <v>38</v>
      </c>
      <c r="D154" t="s">
        <v>55</v>
      </c>
      <c r="E154" t="s">
        <v>500</v>
      </c>
      <c r="F154" t="s">
        <v>501</v>
      </c>
      <c r="G154" t="str">
        <f>HYPERLINK("https://www.google.com/maps/search/?api=1&amp;query=Real%20de%20Minas%20124%2C%20Santa%20Fe%2C%2045653%20Tlajomulco%20de%20Zuniga%2C%20Jal.";"Real de Minas 124, Santa Fe, 45653 Tlajomulco de Zuniga, Jal.")</f>
        <v>Real de Minas 124, Santa Fe, 45653 Tlajomulco de Zuniga, Jal.</v>
      </c>
      <c r="H154" t="s">
        <v>28</v>
      </c>
      <c r="I154" t="s">
        <v>29</v>
      </c>
      <c r="J154" t="s">
        <v>30</v>
      </c>
      <c r="K154" t="s">
        <v>31</v>
      </c>
      <c r="L154" t="s">
        <v>32</v>
      </c>
      <c r="M154" t="s">
        <v>86</v>
      </c>
      <c r="N154" s="1">
        <v>46099</v>
      </c>
      <c r="R154" t="b">
        <v>0</v>
      </c>
      <c r="S154" s="2">
        <v>40000</v>
      </c>
      <c r="T154" t="s">
        <v>34</v>
      </c>
      <c r="U154" t="s">
        <v>72</v>
      </c>
      <c r="X154">
        <f>Q154*1.16</f>
      </c>
    </row>
    <row r="155">
      <c r="A155" t="str">
        <f>B155</f>
        <v>PRV_INFVT_154</v>
      </c>
      <c r="B155" t="str">
        <f>HYPERLINK("https://drive.google.com/drive/folders/1jgG1hKfLmSSmK0U1quvsHPhuZAqFYpF6";"PRV_INFVT_154")</f>
        <v>PRV_INFVT_154</v>
      </c>
      <c r="C155" t="s">
        <v>83</v>
      </c>
      <c r="D155" t="s">
        <v>25</v>
      </c>
      <c r="E155" t="s">
        <v>502</v>
      </c>
      <c r="F155" t="s">
        <v>503</v>
      </c>
      <c r="G155" t="str">
        <f>HYPERLINK("https://www.google.com/maps/search/?api=1&amp;query=Camino%20Real%20161%2C%20Hacienda%20Santa%20Fe%2C%2045654%20Tlajomulco%20de%20Zuniga%2C%20Jal.";"Camino Real 161, Hacienda Santa Fe, 45654 Tlajomulco de Zuniga, Jal.")</f>
        <v>Camino Real 161, Hacienda Santa Fe, 45654 Tlajomulco de Zuniga, Jal.</v>
      </c>
      <c r="H155" t="s">
        <v>42</v>
      </c>
      <c r="I155" t="s">
        <v>43</v>
      </c>
      <c r="J155" t="s">
        <v>44</v>
      </c>
      <c r="K155" t="s">
        <v>31</v>
      </c>
      <c r="L155" t="s">
        <v>32</v>
      </c>
      <c r="M155" t="s">
        <v>89</v>
      </c>
      <c r="N155" s="1">
        <v>46131</v>
      </c>
      <c r="O155" s="1">
        <v>46189</v>
      </c>
      <c r="P155" s="1">
        <v>46156</v>
      </c>
      <c r="Q155" s="2">
        <v>57258.92</v>
      </c>
      <c r="R155" t="b">
        <v>1</v>
      </c>
      <c r="S155" s="2">
        <v>80000</v>
      </c>
      <c r="T155">
        <v>8636.66</v>
      </c>
      <c r="U155" t="s">
        <v>78</v>
      </c>
      <c r="V155" t="s">
        <v>504</v>
      </c>
      <c r="W155" t="s">
        <v>505</v>
      </c>
      <c r="X155">
        <f>Q155*1.16</f>
      </c>
    </row>
    <row r="156">
      <c r="A156" t="str">
        <f>B156</f>
        <v>BNC_HSBC_155</v>
      </c>
      <c r="B156" t="str">
        <f>HYPERLINK("https://drive.google.com/drive/folders/1ZuUsMf5FhudAeAMAKZDatEyGDfKQdzbJ";"BNC_HSBC_155")</f>
        <v>BNC_HSBC_155</v>
      </c>
      <c r="C156" t="s">
        <v>38</v>
      </c>
      <c r="D156" t="s">
        <v>55</v>
      </c>
      <c r="E156" t="s">
        <v>506</v>
      </c>
      <c r="F156" t="s">
        <v>507</v>
      </c>
      <c r="G156" t="str">
        <f>HYPERLINK("https://www.google.com/maps/search/?api=1&amp;query=Rinconada%20del%20Sol%20198%2C%20Chulavista%2C%2045645%20Tlajomulco%20de%20Zuniga%2C%20Jal.";"Rinconada del Sol 198, Chulavista, 45645 Tlajomulco de Zuniga, Jal.")</f>
        <v>Rinconada del Sol 198, Chulavista, 45645 Tlajomulco de Zuniga, Jal.</v>
      </c>
      <c r="H156" t="s">
        <v>49</v>
      </c>
      <c r="I156" t="s">
        <v>50</v>
      </c>
      <c r="J156" t="s">
        <v>51</v>
      </c>
      <c r="K156" t="s">
        <v>31</v>
      </c>
      <c r="L156" t="s">
        <v>32</v>
      </c>
      <c r="M156" t="s">
        <v>94</v>
      </c>
      <c r="N156" s="1">
        <v>46162</v>
      </c>
      <c r="R156" t="b">
        <v>0</v>
      </c>
      <c r="S156" s="2">
        <v>40000</v>
      </c>
      <c r="T156">
        <v>5583.45</v>
      </c>
      <c r="U156" t="s">
        <v>35</v>
      </c>
      <c r="X156">
        <f>Q156*1.16</f>
      </c>
    </row>
    <row r="157">
      <c r="A157" t="str">
        <f>B157</f>
        <v>PIC_TLAJO_156</v>
      </c>
      <c r="B157" t="str">
        <f>HYPERLINK("https://drive.google.com/drive/folders/1BKZvc25Ky68CrLNorSqxD8R0DJguXDR5?usp=drive_link";"PIC_TLAJO_156")</f>
        <v>PIC_TLAJO_156</v>
      </c>
      <c r="C157" t="s">
        <v>24</v>
      </c>
      <c r="D157" t="s">
        <v>39</v>
      </c>
      <c r="E157" t="s">
        <v>508</v>
      </c>
      <c r="F157" t="s">
        <v>509</v>
      </c>
      <c r="G157" t="str">
        <f>HYPERLINK("https://www.google.com/maps/search/?api=1&amp;query=Hacienda%20Vieja%20235%2C%20LOMAS%2C%2045640%20Tlajomulco%20de%20Zuniga%2C%20Jal.";"Hacienda Vieja 235, LOMAS, 45640 Tlajomulco de Zuniga, Jal.")</f>
        <v>Hacienda Vieja 235, LOMAS, 45640 Tlajomulco de Zuniga, Jal.</v>
      </c>
      <c r="H157" t="s">
        <v>58</v>
      </c>
      <c r="I157" t="s">
        <v>59</v>
      </c>
      <c r="J157" t="s">
        <v>60</v>
      </c>
      <c r="K157" t="s">
        <v>31</v>
      </c>
      <c r="L157" t="s">
        <v>32</v>
      </c>
      <c r="M157" t="s">
        <v>99</v>
      </c>
      <c r="N157" s="1">
        <v>46194</v>
      </c>
      <c r="R157" t="b">
        <v>0</v>
      </c>
      <c r="S157" s="2">
        <v>40000</v>
      </c>
      <c r="T157">
        <v>8171.55</v>
      </c>
      <c r="U157" t="s">
        <v>46</v>
      </c>
      <c r="X157">
        <f>Q157*1.16</f>
      </c>
    </row>
    <row r="158">
      <c r="A158" t="str">
        <f>B158</f>
        <v>PRV_INFVT_157</v>
      </c>
      <c r="B158" t="str">
        <f>HYPERLINK("https://drive.google.com/drive/folders/1WJxzK7BboirpLfHLbdi9vb2AYvAxfq9f";"PRV_INFVT_157")</f>
        <v>PRV_INFVT_157</v>
      </c>
      <c r="C158" t="s">
        <v>83</v>
      </c>
      <c r="D158" t="s">
        <v>100</v>
      </c>
      <c r="E158" t="s">
        <v>510</v>
      </c>
      <c r="F158" t="s">
        <v>511</v>
      </c>
      <c r="G158" t="str">
        <f>HYPERLINK("https://www.google.com/maps/search/?api=1&amp;query=Portal%20de%20San%20Juan%20272%2C%20Lomas%20del%20Sur%2C%2045653%20Tlajomulco%20de%20Zuniga%2C%20Jal.";"Portal de San Juan 272, Lomas del Sur, 45653 Tlajomulco de Zuniga, Jal.")</f>
        <v>Portal de San Juan 272, Lomas del Sur, 45653 Tlajomulco de Zuniga, Jal.</v>
      </c>
      <c r="H158" t="s">
        <v>28</v>
      </c>
      <c r="I158" t="s">
        <v>65</v>
      </c>
      <c r="J158" t="s">
        <v>30</v>
      </c>
      <c r="K158" t="s">
        <v>31</v>
      </c>
      <c r="L158" t="s">
        <v>32</v>
      </c>
      <c r="M158" t="s">
        <v>33</v>
      </c>
      <c r="N158" s="1">
        <v>46044</v>
      </c>
      <c r="O158" s="1">
        <v>46105</v>
      </c>
      <c r="P158" s="1">
        <v>46072</v>
      </c>
      <c r="Q158" s="2">
        <v>34416.55</v>
      </c>
      <c r="R158" t="b">
        <v>0</v>
      </c>
      <c r="S158" s="2">
        <v>40000</v>
      </c>
      <c r="T158" t="s">
        <v>34</v>
      </c>
      <c r="U158" t="s">
        <v>53</v>
      </c>
      <c r="V158" t="s">
        <v>512</v>
      </c>
      <c r="W158" t="s">
        <v>513</v>
      </c>
      <c r="X158">
        <f>Q158*1.16</f>
      </c>
    </row>
    <row r="159">
      <c r="A159" t="str">
        <f>B159</f>
        <v>BNC_HSBC_158</v>
      </c>
      <c r="B159" t="str">
        <f>HYPERLINK("https://drive.google.com/drive/folders/1pQJ30rqVL5L1bfkKwqWjSeM7eR39Vmnm";"BNC_HSBC_158")</f>
        <v>BNC_HSBC_158</v>
      </c>
      <c r="C159" t="s">
        <v>38</v>
      </c>
      <c r="D159" t="s">
        <v>25</v>
      </c>
      <c r="E159" t="s">
        <v>514</v>
      </c>
      <c r="F159" t="s">
        <v>515</v>
      </c>
      <c r="G159" t="str">
        <f>HYPERLINK("https://www.google.com/maps/search/?api=1&amp;query=Valle%20de%20Toluca%20309%2C%20Los%20Amiales%2C%2045654%20Tlajomulco%20de%20Zuniga%2C%20Jal.";"Valle de Toluca 309, Los Amiales, 45654 Tlajomulco de Zuniga, Jal.")</f>
        <v>Valle de Toluca 309, Los Amiales, 45654 Tlajomulco de Zuniga, Jal.</v>
      </c>
      <c r="H159" t="s">
        <v>42</v>
      </c>
      <c r="I159" t="s">
        <v>70</v>
      </c>
      <c r="J159" t="s">
        <v>44</v>
      </c>
      <c r="K159" t="s">
        <v>31</v>
      </c>
      <c r="L159" t="s">
        <v>32</v>
      </c>
      <c r="M159" t="s">
        <v>45</v>
      </c>
      <c r="N159" s="1">
        <v>46076</v>
      </c>
      <c r="O159" s="1">
        <v>46138</v>
      </c>
      <c r="P159" s="1">
        <v>46105</v>
      </c>
      <c r="Q159" s="2">
        <v>19308.42</v>
      </c>
      <c r="R159" t="b">
        <v>0</v>
      </c>
      <c r="S159" s="2">
        <v>40000</v>
      </c>
      <c r="T159">
        <v>1598.7</v>
      </c>
      <c r="U159" t="s">
        <v>62</v>
      </c>
      <c r="V159" t="s">
        <v>516</v>
      </c>
      <c r="W159" t="s">
        <v>517</v>
      </c>
      <c r="X159">
        <f>Q159*1.16</f>
      </c>
    </row>
    <row r="160">
      <c r="A160" t="str">
        <f>B160</f>
        <v>PIC_TLAJO_159</v>
      </c>
      <c r="B160" t="str">
        <f>HYPERLINK("https://drive.google.com/drive/folders/1UwbhajuFjXRRnEadbQ9oKq5Ds56V6bqN";"PIC_TLAJO_159")</f>
        <v>PIC_TLAJO_159</v>
      </c>
      <c r="C160" t="s">
        <v>24</v>
      </c>
      <c r="D160" t="s">
        <v>240</v>
      </c>
      <c r="E160" t="s">
        <v>518</v>
      </c>
      <c r="F160" t="s">
        <v>519</v>
      </c>
      <c r="G160" t="str">
        <f>HYPERLINK("https://www.google.com/maps/search/?api=1&amp;query=Cerro%20Gordo%20346%2C%20Villas%20de%20la%20Hacienda%2C%2045645%20Tlajomulco%20de%20Zuniga%2C%20Jal.";"Cerro Gordo 346, Villas de la Hacienda, 45645 Tlajomulco de Zuniga, Jal.")</f>
        <v>Cerro Gordo 346, Villas de la Hacienda, 45645 Tlajomulco de Zuniga, Jal.</v>
      </c>
      <c r="H160" t="s">
        <v>49</v>
      </c>
      <c r="I160" t="s">
        <v>76</v>
      </c>
      <c r="J160" t="s">
        <v>51</v>
      </c>
      <c r="K160" t="s">
        <v>31</v>
      </c>
      <c r="L160" t="s">
        <v>32</v>
      </c>
      <c r="M160" t="s">
        <v>52</v>
      </c>
      <c r="N160" s="1">
        <v>46105</v>
      </c>
      <c r="R160" t="b">
        <v>0</v>
      </c>
      <c r="S160" s="2">
        <v>40000</v>
      </c>
      <c r="T160">
        <v>7334.99</v>
      </c>
      <c r="U160" t="s">
        <v>67</v>
      </c>
      <c r="X160">
        <f>Q160*1.16</f>
      </c>
    </row>
    <row r="161">
      <c r="A161" t="str">
        <f>B161</f>
        <v>BNC_HSBC_160</v>
      </c>
      <c r="B161" t="str">
        <f>HYPERLINK("https://drive.google.com/drive/folders/1i4Zo4e8ZYUWs78zhA6qyCB9p38DDLZRr";"BNC_HSBC_160")</f>
        <v>BNC_HSBC_160</v>
      </c>
      <c r="C161" t="s">
        <v>38</v>
      </c>
      <c r="D161" t="s">
        <v>25</v>
      </c>
      <c r="E161" t="s">
        <v>520</v>
      </c>
      <c r="F161" t="s">
        <v>521</v>
      </c>
      <c r="G161" t="str">
        <f>HYPERLINK("https://www.google.com/maps/search/?api=1&amp;query=Prado%20Sur%20383%2C%20El%20Palomar%2C%2045640%20Tlajomulco%20de%20Zuniga%2C%20Jal.";"Prado Sur 383, El Palomar, 45640 Tlajomulco de Zuniga, Jal.")</f>
        <v>Prado Sur 383, El Palomar, 45640 Tlajomulco de Zuniga, Jal.</v>
      </c>
      <c r="H161" t="s">
        <v>58</v>
      </c>
      <c r="I161" t="s">
        <v>81</v>
      </c>
      <c r="J161" t="s">
        <v>60</v>
      </c>
      <c r="K161" t="s">
        <v>31</v>
      </c>
      <c r="L161" t="s">
        <v>32</v>
      </c>
      <c r="M161" t="s">
        <v>61</v>
      </c>
      <c r="N161" s="1">
        <v>46137</v>
      </c>
      <c r="P161" s="1">
        <v>46168</v>
      </c>
      <c r="Q161" s="2">
        <v>25110.0</v>
      </c>
      <c r="R161" t="b">
        <v>0</v>
      </c>
      <c r="S161" s="2">
        <v>40000</v>
      </c>
      <c r="T161">
        <v>7438.0</v>
      </c>
      <c r="U161" t="s">
        <v>72</v>
      </c>
      <c r="V161" t="s">
        <v>522</v>
      </c>
      <c r="X161">
        <f>Q161*1.16</f>
      </c>
    </row>
    <row r="162">
      <c r="A162" t="str">
        <f>B162</f>
        <v>PRV_INFVT_161</v>
      </c>
      <c r="B162" t="str">
        <f>HYPERLINK("https://drive.google.com/drive/folders/1rRKpqfVSJZ6VHr3WawH2dTG6q9w0FmNG?usp=drive_link";"PRV_INFVT_161")</f>
        <v>PRV_INFVT_161</v>
      </c>
      <c r="C162" t="s">
        <v>83</v>
      </c>
      <c r="D162" t="s">
        <v>39</v>
      </c>
      <c r="E162" t="s">
        <v>523</v>
      </c>
      <c r="F162" t="s">
        <v>524</v>
      </c>
      <c r="G162" t="str">
        <f>HYPERLINK("https://www.google.com/maps/search/?api=1&amp;query=Av.%20Temuco%20420%2C%20Santa%20Fe%2C%2045653%20Tlajomulco%20de%20Zuniga%2C%20Jal.";"Av. Temuco 420, Santa Fe, 45653 Tlajomulco de Zuniga, Jal.")</f>
        <v>Av. Temuco 420, Santa Fe, 45653 Tlajomulco de Zuniga, Jal.</v>
      </c>
      <c r="H162" t="s">
        <v>28</v>
      </c>
      <c r="I162" t="s">
        <v>29</v>
      </c>
      <c r="J162" t="s">
        <v>30</v>
      </c>
      <c r="K162" t="s">
        <v>31</v>
      </c>
      <c r="L162" t="s">
        <v>32</v>
      </c>
      <c r="M162" t="s">
        <v>66</v>
      </c>
      <c r="N162" s="1">
        <v>46168</v>
      </c>
      <c r="R162" t="b">
        <v>0</v>
      </c>
      <c r="S162" s="2">
        <v>40000</v>
      </c>
      <c r="T162" t="s">
        <v>34</v>
      </c>
      <c r="U162" t="s">
        <v>78</v>
      </c>
      <c r="X162">
        <f>Q162*1.16</f>
      </c>
    </row>
    <row r="163">
      <c r="A163" t="str">
        <f>B163</f>
        <v>PIC_TLAJO_162</v>
      </c>
      <c r="B163" t="str">
        <f>HYPERLINK("https://drive.google.com/drive/folders/1Tj3ABxuU6Q5nuvLtqqKCqNRfMvh47QRA";"PIC_TLAJO_162")</f>
        <v>PIC_TLAJO_162</v>
      </c>
      <c r="C163" t="s">
        <v>24</v>
      </c>
      <c r="D163" t="s">
        <v>100</v>
      </c>
      <c r="E163" t="s">
        <v>525</v>
      </c>
      <c r="F163" t="s">
        <v>526</v>
      </c>
      <c r="G163" t="str">
        <f>HYPERLINK("https://www.google.com/maps/search/?api=1&amp;query=Cerro%20de%20la%20Cruz%20457%2C%20Hacienda%20Santa%20Fe%2C%2045654%20Tlajomulco%20de%20Zuniga%2C%20Jal.";"Cerro de la Cruz 457, Hacienda Santa Fe, 45654 Tlajomulco de Zuniga, Jal.")</f>
        <v>Cerro de la Cruz 457, Hacienda Santa Fe, 45654 Tlajomulco de Zuniga, Jal.</v>
      </c>
      <c r="H163" t="s">
        <v>42</v>
      </c>
      <c r="I163" t="s">
        <v>43</v>
      </c>
      <c r="J163" t="s">
        <v>44</v>
      </c>
      <c r="K163" t="s">
        <v>31</v>
      </c>
      <c r="L163" t="s">
        <v>32</v>
      </c>
      <c r="M163" t="s">
        <v>71</v>
      </c>
      <c r="N163" s="1">
        <v>46200</v>
      </c>
      <c r="O163" s="1">
        <v>46226</v>
      </c>
      <c r="P163" s="1">
        <v>46213</v>
      </c>
      <c r="Q163" s="2">
        <v>19567.49</v>
      </c>
      <c r="R163" t="b">
        <v>0</v>
      </c>
      <c r="S163" s="2">
        <v>40000</v>
      </c>
      <c r="T163">
        <v>1588.06</v>
      </c>
      <c r="U163" t="s">
        <v>35</v>
      </c>
      <c r="W163" t="s">
        <v>527</v>
      </c>
      <c r="X163">
        <f>Q163*1.16</f>
      </c>
    </row>
    <row r="164">
      <c r="A164" t="str">
        <f>B164</f>
        <v>PIC_TLAJO_163</v>
      </c>
      <c r="B164" t="str">
        <f>HYPERLINK("https://drive.google.com/drive/folders/16yXSpvnDg93NxNvrqApeyFkSZhkBN474";"PIC_TLAJO_163")</f>
        <v>PIC_TLAJO_163</v>
      </c>
      <c r="C164" t="s">
        <v>24</v>
      </c>
      <c r="D164" t="s">
        <v>25</v>
      </c>
      <c r="E164" t="s">
        <v>528</v>
      </c>
      <c r="F164" t="s">
        <v>529</v>
      </c>
      <c r="G164" t="str">
        <f>HYPERLINK("https://www.google.com/maps/search/?api=1&amp;query=Cerro%20la%20Atalaya%20494%2C%20Chulavista%2C%2045645%20Tlajomulco%20de%20Zuniga%2C%20Jal.";"Cerro la Atalaya 494, Chulavista, 45645 Tlajomulco de Zuniga, Jal.")</f>
        <v>Cerro la Atalaya 494, Chulavista, 45645 Tlajomulco de Zuniga, Jal.</v>
      </c>
      <c r="H164" t="s">
        <v>49</v>
      </c>
      <c r="I164" t="s">
        <v>50</v>
      </c>
      <c r="J164" t="s">
        <v>51</v>
      </c>
      <c r="K164" t="s">
        <v>31</v>
      </c>
      <c r="L164" t="s">
        <v>32</v>
      </c>
      <c r="M164" t="s">
        <v>77</v>
      </c>
      <c r="N164" s="1">
        <v>46023</v>
      </c>
      <c r="O164" s="1">
        <v>46050</v>
      </c>
      <c r="P164" s="1">
        <v>46037</v>
      </c>
      <c r="Q164" s="2">
        <v>62861.89</v>
      </c>
      <c r="R164" t="b">
        <v>1</v>
      </c>
      <c r="S164" s="2">
        <v>80000</v>
      </c>
      <c r="T164">
        <v>4766.72</v>
      </c>
      <c r="U164" t="s">
        <v>46</v>
      </c>
      <c r="V164" t="s">
        <v>530</v>
      </c>
      <c r="W164" t="s">
        <v>531</v>
      </c>
      <c r="X164">
        <f>Q164*1.16</f>
      </c>
    </row>
    <row r="165">
      <c r="A165" t="str">
        <f>B165</f>
        <v>PRV_INFVT_164</v>
      </c>
      <c r="B165" t="str">
        <f>HYPERLINK("https://drive.google.com/drive/folders/1WsggLf2nPU8NL6rTTgr1Goonbq6P3xC5";"PRV_INFVT_164")</f>
        <v>PRV_INFVT_164</v>
      </c>
      <c r="C165" t="s">
        <v>83</v>
      </c>
      <c r="D165" t="s">
        <v>128</v>
      </c>
      <c r="E165" t="s">
        <v>532</v>
      </c>
      <c r="F165" t="s">
        <v>533</v>
      </c>
      <c r="G165" t="str">
        <f>HYPERLINK("https://www.google.com/maps/search/?api=1&amp;query=Monte%20Cabra%20131%2C%20LOMAS%2C%2045640%20Tlajomulco%20de%20Zuniga%2C%20Jal.";"Monte Cabra 131, LOMAS, 45640 Tlajomulco de Zuniga, Jal.")</f>
        <v>Monte Cabra 131, LOMAS, 45640 Tlajomulco de Zuniga, Jal.</v>
      </c>
      <c r="H165" t="s">
        <v>58</v>
      </c>
      <c r="I165" t="s">
        <v>59</v>
      </c>
      <c r="J165" t="s">
        <v>60</v>
      </c>
      <c r="K165" t="s">
        <v>31</v>
      </c>
      <c r="L165" t="s">
        <v>32</v>
      </c>
      <c r="M165" t="s">
        <v>82</v>
      </c>
      <c r="N165" s="1">
        <v>46055</v>
      </c>
      <c r="R165" t="b">
        <v>0</v>
      </c>
      <c r="S165" s="2">
        <v>40000</v>
      </c>
      <c r="T165">
        <v>7171.95</v>
      </c>
      <c r="U165" t="s">
        <v>53</v>
      </c>
      <c r="X165">
        <f>Q165*1.16</f>
      </c>
    </row>
    <row r="166">
      <c r="A166" t="str">
        <f>B166</f>
        <v>PIC_TLAJO_165</v>
      </c>
      <c r="B166" t="str">
        <f>HYPERLINK("https://drive.google.com/drive/folders/1K3UU5M1nZcB6MpRYGVSpwjmALP0vTm5g";"PIC_TLAJO_165")</f>
        <v>PIC_TLAJO_165</v>
      </c>
      <c r="C166" t="s">
        <v>24</v>
      </c>
      <c r="D166" t="s">
        <v>55</v>
      </c>
      <c r="E166" t="s">
        <v>534</v>
      </c>
      <c r="F166" t="s">
        <v>535</v>
      </c>
      <c r="G166" t="str">
        <f>HYPERLINK("https://www.google.com/maps/search/?api=1&amp;query=Cerro%20de%20las%207%20Gotas%20168%2C%20Lomas%20del%20Sur%2C%2045653%20Tlajomulco%20de%20Zuniga%2C%20Jal.";"Cerro de las 7 Gotas 168, Lomas del Sur, 45653 Tlajomulco de Zuniga, Jal.")</f>
        <v>Cerro de las 7 Gotas 168, Lomas del Sur, 45653 Tlajomulco de Zuniga, Jal.</v>
      </c>
      <c r="H166" t="s">
        <v>28</v>
      </c>
      <c r="I166" t="s">
        <v>65</v>
      </c>
      <c r="J166" t="s">
        <v>30</v>
      </c>
      <c r="K166" t="s">
        <v>31</v>
      </c>
      <c r="L166" t="s">
        <v>32</v>
      </c>
      <c r="M166" t="s">
        <v>86</v>
      </c>
      <c r="N166" s="1">
        <v>46084</v>
      </c>
      <c r="R166" t="b">
        <v>0</v>
      </c>
      <c r="S166" s="2">
        <v>40000</v>
      </c>
      <c r="T166" t="s">
        <v>34</v>
      </c>
      <c r="U166" t="s">
        <v>62</v>
      </c>
      <c r="X166">
        <f>Q166*1.16</f>
      </c>
    </row>
    <row r="167">
      <c r="A167" t="str">
        <f>B167</f>
        <v>BNC_HSBC_166</v>
      </c>
      <c r="B167" t="str">
        <f>HYPERLINK("https://drive.google.com/drive/folders/1udbJ7jN2RzmkdHfYjbxAeZihVZvukUtD?usp=drive_link";"BNC_HSBC_166")</f>
        <v>BNC_HSBC_166</v>
      </c>
      <c r="C167" t="s">
        <v>38</v>
      </c>
      <c r="D167" t="s">
        <v>240</v>
      </c>
      <c r="E167" t="s">
        <v>536</v>
      </c>
      <c r="F167" t="s">
        <v>537</v>
      </c>
      <c r="G167" t="str">
        <f>HYPERLINK("https://www.google.com/maps/search/?api=1&amp;query=Esteli%20205%2C%20Los%20Amiales%2C%2045654%20Tlajomulco%20de%20Zuniga%2C%20Jal.";"Esteli 205, Los Amiales, 45654 Tlajomulco de Zuniga, Jal.")</f>
        <v>Esteli 205, Los Amiales, 45654 Tlajomulco de Zuniga, Jal.</v>
      </c>
      <c r="H167" t="s">
        <v>42</v>
      </c>
      <c r="I167" t="s">
        <v>70</v>
      </c>
      <c r="J167" t="s">
        <v>44</v>
      </c>
      <c r="K167" t="s">
        <v>31</v>
      </c>
      <c r="L167" t="s">
        <v>32</v>
      </c>
      <c r="M167" t="s">
        <v>89</v>
      </c>
      <c r="N167" s="1">
        <v>46116</v>
      </c>
      <c r="Q167" s="2">
        <v>32575.49</v>
      </c>
      <c r="R167" t="b">
        <v>0</v>
      </c>
      <c r="S167" s="2">
        <v>40000</v>
      </c>
      <c r="T167">
        <v>3837.37</v>
      </c>
      <c r="U167" t="s">
        <v>67</v>
      </c>
      <c r="X167">
        <f>Q167*1.16</f>
      </c>
    </row>
    <row r="168">
      <c r="A168" t="str">
        <f>B168</f>
        <v>PIC_TLAJO_167</v>
      </c>
      <c r="B168" t="str">
        <f>HYPERLINK("https://drive.google.com/drive/folders/1iyGpitcBtxrHNRMwwRvQN9PP8P0HME8o";"PIC_TLAJO_167")</f>
        <v>PIC_TLAJO_167</v>
      </c>
      <c r="C168" t="s">
        <v>24</v>
      </c>
      <c r="D168" t="s">
        <v>152</v>
      </c>
      <c r="E168" t="s">
        <v>538</v>
      </c>
      <c r="F168" t="s">
        <v>539</v>
      </c>
      <c r="G168" t="str">
        <f>HYPERLINK("https://www.google.com/maps/search/?api=1&amp;query=Montevideo%20242%2C%20Villas%20de%20la%20Hacienda%2C%2045645%20Tlajomulco%20de%20Zuniga%2C%20Jal.";"Montevideo 242, Villas de la Hacienda, 45645 Tlajomulco de Zuniga, Jal.")</f>
        <v>Montevideo 242, Villas de la Hacienda, 45645 Tlajomulco de Zuniga, Jal.</v>
      </c>
      <c r="H168" t="s">
        <v>49</v>
      </c>
      <c r="I168" t="s">
        <v>76</v>
      </c>
      <c r="J168" t="s">
        <v>51</v>
      </c>
      <c r="K168" t="s">
        <v>31</v>
      </c>
      <c r="L168" t="s">
        <v>32</v>
      </c>
      <c r="M168" t="s">
        <v>94</v>
      </c>
      <c r="N168" s="1">
        <v>46147</v>
      </c>
      <c r="R168" t="b">
        <v>0</v>
      </c>
      <c r="S168" s="2">
        <v>40000</v>
      </c>
      <c r="T168">
        <v>3415.36</v>
      </c>
      <c r="U168" t="s">
        <v>72</v>
      </c>
      <c r="X168">
        <f>Q168*1.16</f>
      </c>
    </row>
    <row r="169">
      <c r="A169" t="str">
        <f>B169</f>
        <v>PRV_INFVT_168</v>
      </c>
      <c r="B169" t="str">
        <f>HYPERLINK("https://drive.google.com/drive/folders/10upNQyDrC5Qf69hkV78Hi62A9aKNxpBs";"PRV_INFVT_168")</f>
        <v>PRV_INFVT_168</v>
      </c>
      <c r="C169" t="s">
        <v>83</v>
      </c>
      <c r="D169" t="s">
        <v>25</v>
      </c>
      <c r="E169" t="s">
        <v>540</v>
      </c>
      <c r="F169" t="s">
        <v>541</v>
      </c>
      <c r="G169" t="str">
        <f>HYPERLINK("https://www.google.com/maps/search/?api=1&amp;query=Av.%20Bogota%20279%2C%20El%20Palomar%2C%2045640%20Tlajomulco%20de%20Zuniga%2C%20Jal.";"Av. Bogota 279, El Palomar, 45640 Tlajomulco de Zuniga, Jal.")</f>
        <v>Av. Bogota 279, El Palomar, 45640 Tlajomulco de Zuniga, Jal.</v>
      </c>
      <c r="H169" t="s">
        <v>58</v>
      </c>
      <c r="I169" t="s">
        <v>81</v>
      </c>
      <c r="J169" t="s">
        <v>60</v>
      </c>
      <c r="K169" t="s">
        <v>31</v>
      </c>
      <c r="L169" t="s">
        <v>32</v>
      </c>
      <c r="M169" t="s">
        <v>99</v>
      </c>
      <c r="N169" s="1">
        <v>46179</v>
      </c>
      <c r="O169" s="1">
        <v>46211</v>
      </c>
      <c r="P169" s="1">
        <v>46198</v>
      </c>
      <c r="Q169" s="2">
        <v>21500.9</v>
      </c>
      <c r="R169" t="b">
        <v>0</v>
      </c>
      <c r="S169" s="2">
        <v>40000</v>
      </c>
      <c r="T169">
        <v>2052.68</v>
      </c>
      <c r="U169" t="s">
        <v>78</v>
      </c>
      <c r="X169">
        <f>Q169*1.16</f>
      </c>
    </row>
    <row r="170">
      <c r="A170" t="str">
        <f>B170</f>
        <v>PIC_TLAJO_169</v>
      </c>
      <c r="B170" t="str">
        <f>HYPERLINK("https://drive.google.com/drive/folders/1iiFrZxN2ifweYMxw3HVQ8JqSCgTWwPiK";"PIC_TLAJO_169")</f>
        <v>PIC_TLAJO_169</v>
      </c>
      <c r="C170" t="s">
        <v>24</v>
      </c>
      <c r="D170" t="s">
        <v>39</v>
      </c>
      <c r="E170" t="s">
        <v>542</v>
      </c>
      <c r="F170" t="s">
        <v>543</v>
      </c>
      <c r="G170" t="str">
        <f>HYPERLINK("https://www.google.com/maps/search/?api=1&amp;query=Blvd.%20Republica%20de%20Honduras%20316%2C%20Santa%20Fe%2C%2045653%20Tlajomulco%20de%20Zuniga%2C%20Jal.";"Blvd. Republica de Honduras 316, Santa Fe, 45653 Tlajomulco de Zuniga, Jal.")</f>
        <v>Blvd. Republica de Honduras 316, Santa Fe, 45653 Tlajomulco de Zuniga, Jal.</v>
      </c>
      <c r="H170" t="s">
        <v>28</v>
      </c>
      <c r="I170" t="s">
        <v>29</v>
      </c>
      <c r="J170" t="s">
        <v>30</v>
      </c>
      <c r="K170" t="s">
        <v>31</v>
      </c>
      <c r="L170" t="s">
        <v>32</v>
      </c>
      <c r="M170" t="s">
        <v>33</v>
      </c>
      <c r="N170" s="1">
        <v>46029</v>
      </c>
      <c r="Q170" s="2">
        <v>22538.89</v>
      </c>
      <c r="R170" t="b">
        <v>0</v>
      </c>
      <c r="S170" s="2">
        <v>40000</v>
      </c>
      <c r="T170" t="s">
        <v>34</v>
      </c>
      <c r="U170" t="s">
        <v>35</v>
      </c>
      <c r="X170">
        <f>Q170*1.16</f>
      </c>
    </row>
    <row r="171">
      <c r="A171" t="str">
        <f>B171</f>
        <v>PIC_TLAJO_170</v>
      </c>
      <c r="B171" t="str">
        <f>HYPERLINK("https://drive.google.com/drive/folders/1qewVt1L1WHKpURC56ysK5CYkkcZnTWkQ";"PIC_TLAJO_170")</f>
        <v>PIC_TLAJO_170</v>
      </c>
      <c r="C171" t="s">
        <v>24</v>
      </c>
      <c r="D171" t="s">
        <v>100</v>
      </c>
      <c r="E171" t="s">
        <v>544</v>
      </c>
      <c r="F171" t="s">
        <v>545</v>
      </c>
      <c r="G171" t="str">
        <f>HYPERLINK("https://www.google.com/maps/search/?api=1&amp;query=Paseo%20de%20los%20Agaves%20353%2C%20Hacienda%20Santa%20Fe%2C%2045654%20Tlajomulco%20de%20Zuniga%2C%20Jal.";"Paseo de los Agaves 353, Hacienda Santa Fe, 45654 Tlajomulco de Zuniga, Jal.")</f>
        <v>Paseo de los Agaves 353, Hacienda Santa Fe, 45654 Tlajomulco de Zuniga, Jal.</v>
      </c>
      <c r="H171" t="s">
        <v>42</v>
      </c>
      <c r="I171" t="s">
        <v>43</v>
      </c>
      <c r="J171" t="s">
        <v>44</v>
      </c>
      <c r="K171" t="s">
        <v>31</v>
      </c>
      <c r="L171" t="s">
        <v>32</v>
      </c>
      <c r="M171" t="s">
        <v>45</v>
      </c>
      <c r="N171" s="1">
        <v>46061</v>
      </c>
      <c r="O171" s="1">
        <v>46095</v>
      </c>
      <c r="P171" s="1">
        <v>46082</v>
      </c>
      <c r="Q171" s="2">
        <v>27314.91</v>
      </c>
      <c r="R171" t="b">
        <v>0</v>
      </c>
      <c r="S171" s="2">
        <v>40000</v>
      </c>
      <c r="T171">
        <v>5884.94</v>
      </c>
      <c r="U171" t="s">
        <v>46</v>
      </c>
      <c r="V171" t="s">
        <v>546</v>
      </c>
      <c r="W171" t="s">
        <v>547</v>
      </c>
      <c r="X171">
        <f>Q171*1.16</f>
      </c>
    </row>
    <row r="172">
      <c r="A172" t="str">
        <f>B172</f>
        <v>BNC_HSBC_171</v>
      </c>
      <c r="B172" t="str">
        <f>HYPERLINK("https://drive.google.com/drive/folders/1RNNtLuTLkEub8b8meALWdUD44AGrzJ0i?usp=drive_link";"BNC_HSBC_171")</f>
        <v>BNC_HSBC_171</v>
      </c>
      <c r="C172" t="s">
        <v>38</v>
      </c>
      <c r="D172" t="s">
        <v>25</v>
      </c>
      <c r="E172" t="s">
        <v>548</v>
      </c>
      <c r="F172" t="s">
        <v>549</v>
      </c>
      <c r="G172" t="str">
        <f>HYPERLINK("https://www.google.com/maps/search/?api=1&amp;query=Volcan%20Paricutin%20390%2C%20Chulavista%2C%2045645%20Tlajomulco%20de%20Zuniga%2C%20Jal.";"Volcan Paricutin 390, Chulavista, 45645 Tlajomulco de Zuniga, Jal.")</f>
        <v>Volcan Paricutin 390, Chulavista, 45645 Tlajomulco de Zuniga, Jal.</v>
      </c>
      <c r="H172" t="s">
        <v>49</v>
      </c>
      <c r="I172" t="s">
        <v>50</v>
      </c>
      <c r="J172" t="s">
        <v>51</v>
      </c>
      <c r="K172" t="s">
        <v>31</v>
      </c>
      <c r="L172" t="s">
        <v>32</v>
      </c>
      <c r="M172" t="s">
        <v>52</v>
      </c>
      <c r="N172" s="1">
        <v>46090</v>
      </c>
      <c r="P172" s="1">
        <v>46112</v>
      </c>
      <c r="Q172" s="2">
        <v>36469.21</v>
      </c>
      <c r="R172" t="b">
        <v>0</v>
      </c>
      <c r="S172" s="2">
        <v>40000</v>
      </c>
      <c r="T172">
        <v>4918.73</v>
      </c>
      <c r="U172" t="s">
        <v>53</v>
      </c>
      <c r="W172" t="s">
        <v>550</v>
      </c>
      <c r="X172">
        <f>Q172*1.16</f>
      </c>
    </row>
    <row r="173">
      <c r="A173" t="str">
        <f>B173</f>
        <v>PIC_TLAJO_172</v>
      </c>
      <c r="B173" t="str">
        <f>HYPERLINK("https://drive.google.com/drive/folders/1JQdVnuK3aSuF5EetJ0F48WbJc9EJSqjM";"PIC_TLAJO_172")</f>
        <v>PIC_TLAJO_172</v>
      </c>
      <c r="C173" t="s">
        <v>24</v>
      </c>
      <c r="D173" t="s">
        <v>152</v>
      </c>
      <c r="E173" t="s">
        <v>551</v>
      </c>
      <c r="F173" t="s">
        <v>552</v>
      </c>
      <c r="G173" t="str">
        <f>HYPERLINK("https://www.google.com/maps/search/?api=1&amp;query=Loma%20Dorada%20427%2C%20LOMAS%2C%2045640%20Tlajomulco%20de%20Zuniga%2C%20Jal.";"Loma Dorada 427, LOMAS, 45640 Tlajomulco de Zuniga, Jal.")</f>
        <v>Loma Dorada 427, LOMAS, 45640 Tlajomulco de Zuniga, Jal.</v>
      </c>
      <c r="H173" t="s">
        <v>58</v>
      </c>
      <c r="I173" t="s">
        <v>59</v>
      </c>
      <c r="J173" t="s">
        <v>60</v>
      </c>
      <c r="K173" t="s">
        <v>31</v>
      </c>
      <c r="L173" t="s">
        <v>32</v>
      </c>
      <c r="M173" t="s">
        <v>61</v>
      </c>
      <c r="N173" s="1">
        <v>46122</v>
      </c>
      <c r="Q173" s="2">
        <v>20889.57</v>
      </c>
      <c r="R173" t="b">
        <v>1</v>
      </c>
      <c r="S173" s="2">
        <v>80000</v>
      </c>
      <c r="T173">
        <v>7803.4</v>
      </c>
      <c r="U173" t="s">
        <v>62</v>
      </c>
      <c r="X173">
        <f>Q173*1.16</f>
      </c>
    </row>
    <row r="174">
      <c r="A174" t="str">
        <f>B174</f>
        <v>PIC_TLAJO_173</v>
      </c>
      <c r="B174" t="str">
        <f>HYPERLINK("https://drive.google.com/drive/folders/1bRyAZA9tunBuHKheQ8BfcA4MowJzRuUr";"PIC_TLAJO_173")</f>
        <v>PIC_TLAJO_173</v>
      </c>
      <c r="C174" t="s">
        <v>24</v>
      </c>
      <c r="D174" t="s">
        <v>100</v>
      </c>
      <c r="E174" t="s">
        <v>553</v>
      </c>
      <c r="F174" t="s">
        <v>554</v>
      </c>
      <c r="G174" t="str">
        <f>HYPERLINK("https://www.google.com/maps/search/?api=1&amp;query=Real%20de%20Minas%20464%2C%20Lomas%20del%20Sur%2C%2045653%20Tlajomulco%20de%20Zuniga%2C%20Jal.";"Real de Minas 464, Lomas del Sur, 45653 Tlajomulco de Zuniga, Jal.")</f>
        <v>Real de Minas 464, Lomas del Sur, 45653 Tlajomulco de Zuniga, Jal.</v>
      </c>
      <c r="H174" t="s">
        <v>28</v>
      </c>
      <c r="I174" t="s">
        <v>65</v>
      </c>
      <c r="J174" t="s">
        <v>30</v>
      </c>
      <c r="K174" t="s">
        <v>31</v>
      </c>
      <c r="L174" t="s">
        <v>32</v>
      </c>
      <c r="M174" t="s">
        <v>66</v>
      </c>
      <c r="N174" s="1">
        <v>46153</v>
      </c>
      <c r="O174" s="1">
        <v>46190</v>
      </c>
      <c r="P174" s="1">
        <v>46177</v>
      </c>
      <c r="Q174" s="2">
        <v>22646.01</v>
      </c>
      <c r="R174" t="b">
        <v>0</v>
      </c>
      <c r="S174" s="2">
        <v>40000</v>
      </c>
      <c r="T174" t="s">
        <v>34</v>
      </c>
      <c r="U174" t="s">
        <v>67</v>
      </c>
      <c r="V174" t="s">
        <v>555</v>
      </c>
      <c r="W174" t="s">
        <v>556</v>
      </c>
      <c r="X174">
        <f>Q174*1.16</f>
      </c>
    </row>
    <row r="175">
      <c r="A175" t="str">
        <f>B175</f>
        <v>BNC_HSBC_174</v>
      </c>
      <c r="B175" t="str">
        <f>HYPERLINK("https://drive.google.com/drive/folders/1njd6psv8u9FwjzVTGL9QFumv7KCvED1R";"BNC_HSBC_174")</f>
        <v>BNC_HSBC_174</v>
      </c>
      <c r="C175" t="s">
        <v>38</v>
      </c>
      <c r="D175" t="s">
        <v>152</v>
      </c>
      <c r="E175" t="s">
        <v>557</v>
      </c>
      <c r="F175" t="s">
        <v>558</v>
      </c>
      <c r="G175" t="str">
        <f>HYPERLINK("https://www.google.com/maps/search/?api=1&amp;query=Camino%20Real%20101%2C%20Los%20Amiales%2C%2045654%20Tlajomulco%20de%20Zuniga%2C%20Jal.";"Camino Real 101, Los Amiales, 45654 Tlajomulco de Zuniga, Jal.")</f>
        <v>Camino Real 101, Los Amiales, 45654 Tlajomulco de Zuniga, Jal.</v>
      </c>
      <c r="H175" t="s">
        <v>42</v>
      </c>
      <c r="I175" t="s">
        <v>70</v>
      </c>
      <c r="J175" t="s">
        <v>44</v>
      </c>
      <c r="K175" t="s">
        <v>31</v>
      </c>
      <c r="L175" t="s">
        <v>32</v>
      </c>
      <c r="M175" t="s">
        <v>71</v>
      </c>
      <c r="N175" s="1">
        <v>46185</v>
      </c>
      <c r="R175" t="b">
        <v>0</v>
      </c>
      <c r="S175" s="2">
        <v>40000</v>
      </c>
      <c r="T175">
        <v>5441.92</v>
      </c>
      <c r="U175" t="s">
        <v>72</v>
      </c>
      <c r="X175">
        <f>Q175*1.16</f>
      </c>
    </row>
    <row r="176">
      <c r="A176" t="str">
        <f>B176</f>
        <v>BNC_HSBC_175</v>
      </c>
      <c r="B176" t="str">
        <f>HYPERLINK("https://drive.google.com/drive/folders/1VEL4j79nXaF4tAs4VG1kgPgw2s3KSdt0";"BNC_HSBC_175")</f>
        <v>BNC_HSBC_175</v>
      </c>
      <c r="C176" t="s">
        <v>38</v>
      </c>
      <c r="D176" t="s">
        <v>152</v>
      </c>
      <c r="E176" t="s">
        <v>559</v>
      </c>
      <c r="F176" t="s">
        <v>560</v>
      </c>
      <c r="G176" t="str">
        <f>HYPERLINK("https://www.google.com/maps/search/?api=1&amp;query=Rinconada%20del%20Sol%20138%2C%20Villas%20de%20la%20Hacienda%2C%2045645%20Tlajomulco%20de%20Zuniga%2C%20Jal.";"Rinconada del Sol 138, Villas de la Hacienda, 45645 Tlajomulco de Zuniga, Jal.")</f>
        <v>Rinconada del Sol 138, Villas de la Hacienda, 45645 Tlajomulco de Zuniga, Jal.</v>
      </c>
      <c r="H176" t="s">
        <v>49</v>
      </c>
      <c r="I176" t="s">
        <v>76</v>
      </c>
      <c r="J176" t="s">
        <v>51</v>
      </c>
      <c r="K176" t="s">
        <v>31</v>
      </c>
      <c r="L176" t="s">
        <v>32</v>
      </c>
      <c r="M176" t="s">
        <v>77</v>
      </c>
      <c r="N176" s="1">
        <v>46035</v>
      </c>
      <c r="Q176" s="2">
        <v>25234.53</v>
      </c>
      <c r="R176" t="b">
        <v>0</v>
      </c>
      <c r="S176" s="2">
        <v>40000</v>
      </c>
      <c r="T176">
        <v>5821.17</v>
      </c>
      <c r="U176" t="s">
        <v>78</v>
      </c>
      <c r="X176">
        <f>Q176*1.16</f>
      </c>
    </row>
    <row r="177">
      <c r="A177" t="str">
        <f>B177</f>
        <v>BNC_HSBC_176</v>
      </c>
      <c r="B177" t="str">
        <f>HYPERLINK("https://drive.google.com/drive/folders/1VwzeKiHzaV2xWaFTeCQt8iAF3FmgXxJL?usp=drive_link";"BNC_HSBC_176")</f>
        <v>BNC_HSBC_176</v>
      </c>
      <c r="C177" t="s">
        <v>38</v>
      </c>
      <c r="D177" t="s">
        <v>55</v>
      </c>
      <c r="E177" t="s">
        <v>561</v>
      </c>
      <c r="F177" t="s">
        <v>562</v>
      </c>
      <c r="G177" t="str">
        <f>HYPERLINK("https://www.google.com/maps/search/?api=1&amp;query=Hacienda%20Vieja%20175%2C%20El%20Palomar%2C%2045640%20Tlajomulco%20de%20Zuniga%2C%20Jal.";"Hacienda Vieja 175, El Palomar, 45640 Tlajomulco de Zuniga, Jal.")</f>
        <v>Hacienda Vieja 175, El Palomar, 45640 Tlajomulco de Zuniga, Jal.</v>
      </c>
      <c r="H177" t="s">
        <v>58</v>
      </c>
      <c r="I177" t="s">
        <v>81</v>
      </c>
      <c r="J177" t="s">
        <v>60</v>
      </c>
      <c r="K177" t="s">
        <v>31</v>
      </c>
      <c r="L177" t="s">
        <v>32</v>
      </c>
      <c r="M177" t="s">
        <v>82</v>
      </c>
      <c r="N177" s="1">
        <v>46067</v>
      </c>
      <c r="R177" t="b">
        <v>0</v>
      </c>
      <c r="S177" s="2">
        <v>40000</v>
      </c>
      <c r="T177">
        <v>6238.16</v>
      </c>
      <c r="U177" t="s">
        <v>35</v>
      </c>
      <c r="X177">
        <f>Q177*1.16</f>
      </c>
    </row>
    <row r="178">
      <c r="A178" t="str">
        <f>B178</f>
        <v>PRV_INFVT_177</v>
      </c>
      <c r="B178" t="str">
        <f>HYPERLINK("https://drive.google.com/drive/folders/1z9Ebkavvgb7wS7oQsCKR1RhSKqy00d7y";"PRV_INFVT_177")</f>
        <v>PRV_INFVT_177</v>
      </c>
      <c r="C178" t="s">
        <v>83</v>
      </c>
      <c r="D178" t="s">
        <v>152</v>
      </c>
      <c r="E178" t="s">
        <v>563</v>
      </c>
      <c r="F178" t="s">
        <v>564</v>
      </c>
      <c r="G178" t="str">
        <f>HYPERLINK("https://www.google.com/maps/search/?api=1&amp;query=Portal%20de%20San%20Juan%20212%2C%20Santa%20Fe%2C%2045653%20Tlajomulco%20de%20Zuniga%2C%20Jal.";"Portal de San Juan 212, Santa Fe, 45653 Tlajomulco de Zuniga, Jal.")</f>
        <v>Portal de San Juan 212, Santa Fe, 45653 Tlajomulco de Zuniga, Jal.</v>
      </c>
      <c r="H178" t="s">
        <v>28</v>
      </c>
      <c r="I178" t="s">
        <v>29</v>
      </c>
      <c r="J178" t="s">
        <v>30</v>
      </c>
      <c r="K178" t="s">
        <v>31</v>
      </c>
      <c r="L178" t="s">
        <v>32</v>
      </c>
      <c r="M178" t="s">
        <v>86</v>
      </c>
      <c r="N178" s="1">
        <v>46096</v>
      </c>
      <c r="R178" t="b">
        <v>0</v>
      </c>
      <c r="S178" s="2">
        <v>40000</v>
      </c>
      <c r="T178" t="s">
        <v>34</v>
      </c>
      <c r="U178" t="s">
        <v>46</v>
      </c>
      <c r="X178">
        <f>Q178*1.16</f>
      </c>
    </row>
    <row r="179">
      <c r="A179" t="str">
        <f>B179</f>
        <v>PIC_TLAJO_178</v>
      </c>
      <c r="B179" t="str">
        <f>HYPERLINK("https://drive.google.com/drive/folders/14QNg3vrX25G8SwoTvznF3Fwqbwo4FaBw";"PIC_TLAJO_178")</f>
        <v>PIC_TLAJO_178</v>
      </c>
      <c r="C179" t="s">
        <v>24</v>
      </c>
      <c r="D179" t="s">
        <v>39</v>
      </c>
      <c r="E179" t="s">
        <v>565</v>
      </c>
      <c r="F179" t="s">
        <v>566</v>
      </c>
      <c r="G179" t="str">
        <f>HYPERLINK("https://www.google.com/maps/search/?api=1&amp;query=Valle%20de%20Toluca%20249%2C%20Hacienda%20Santa%20Fe%2C%2045654%20Tlajomulco%20de%20Zuniga%2C%20Jal.";"Valle de Toluca 249, Hacienda Santa Fe, 45654 Tlajomulco de Zuniga, Jal.")</f>
        <v>Valle de Toluca 249, Hacienda Santa Fe, 45654 Tlajomulco de Zuniga, Jal.</v>
      </c>
      <c r="H179" t="s">
        <v>42</v>
      </c>
      <c r="I179" t="s">
        <v>43</v>
      </c>
      <c r="J179" t="s">
        <v>44</v>
      </c>
      <c r="K179" t="s">
        <v>31</v>
      </c>
      <c r="L179" t="s">
        <v>32</v>
      </c>
      <c r="M179" t="s">
        <v>89</v>
      </c>
      <c r="N179" s="1">
        <v>46128</v>
      </c>
      <c r="Q179" s="2">
        <v>15298.53</v>
      </c>
      <c r="R179" t="b">
        <v>0</v>
      </c>
      <c r="S179" s="2">
        <v>40000</v>
      </c>
      <c r="T179">
        <v>5557.04</v>
      </c>
      <c r="U179" t="s">
        <v>53</v>
      </c>
      <c r="X179">
        <f>Q179*1.16</f>
      </c>
    </row>
    <row r="180">
      <c r="A180" t="str">
        <f>B180</f>
        <v>BNC_HSBC_179</v>
      </c>
      <c r="B180" t="str">
        <f>HYPERLINK("https://drive.google.com/drive/folders/1FqWxqYgJFx9PjJg04ZArzkLpMpCBTQ5Z";"BNC_HSBC_179")</f>
        <v>BNC_HSBC_179</v>
      </c>
      <c r="C180" t="s">
        <v>38</v>
      </c>
      <c r="D180" t="s">
        <v>128</v>
      </c>
      <c r="E180" t="s">
        <v>567</v>
      </c>
      <c r="F180" t="s">
        <v>568</v>
      </c>
      <c r="G180" t="str">
        <f>HYPERLINK("https://www.google.com/maps/search/?api=1&amp;query=Cerro%20Gordo%20286%2C%20Chulavista%2C%2045645%20Tlajomulco%20de%20Zuniga%2C%20Jal.";"Cerro Gordo 286, Chulavista, 45645 Tlajomulco de Zuniga, Jal.")</f>
        <v>Cerro Gordo 286, Chulavista, 45645 Tlajomulco de Zuniga, Jal.</v>
      </c>
      <c r="H180" t="s">
        <v>49</v>
      </c>
      <c r="I180" t="s">
        <v>50</v>
      </c>
      <c r="J180" t="s">
        <v>51</v>
      </c>
      <c r="K180" t="s">
        <v>31</v>
      </c>
      <c r="L180" t="s">
        <v>32</v>
      </c>
      <c r="M180" t="s">
        <v>94</v>
      </c>
      <c r="N180" s="1">
        <v>46159</v>
      </c>
      <c r="R180" t="b">
        <v>0</v>
      </c>
      <c r="S180" s="2">
        <v>40000</v>
      </c>
      <c r="T180">
        <v>1719.96</v>
      </c>
      <c r="U180" t="s">
        <v>62</v>
      </c>
      <c r="X180">
        <f>Q180*1.16</f>
      </c>
    </row>
    <row r="181">
      <c r="A181" t="str">
        <f>B181</f>
        <v>PIC_TLAJO_180</v>
      </c>
      <c r="B181" t="str">
        <f>HYPERLINK("https://drive.google.com/drive/folders/1cREvGRPJgPU9yH9yAJjLWNxaYpfqgXQ3";"PIC_TLAJO_180")</f>
        <v>PIC_TLAJO_180</v>
      </c>
      <c r="C181" t="s">
        <v>24</v>
      </c>
      <c r="D181" t="s">
        <v>25</v>
      </c>
      <c r="E181" t="s">
        <v>569</v>
      </c>
      <c r="F181" t="s">
        <v>570</v>
      </c>
      <c r="G181" t="str">
        <f>HYPERLINK("https://www.google.com/maps/search/?api=1&amp;query=Prado%20Sur%20323%2C%20LOMAS%2C%2045640%20Tlajomulco%20de%20Zuniga%2C%20Jal.";"Prado Sur 323, LOMAS, 45640 Tlajomulco de Zuniga, Jal.")</f>
        <v>Prado Sur 323, LOMAS, 45640 Tlajomulco de Zuniga, Jal.</v>
      </c>
      <c r="H181" t="s">
        <v>58</v>
      </c>
      <c r="I181" t="s">
        <v>59</v>
      </c>
      <c r="J181" t="s">
        <v>60</v>
      </c>
      <c r="K181" t="s">
        <v>31</v>
      </c>
      <c r="L181" t="s">
        <v>32</v>
      </c>
      <c r="M181" t="s">
        <v>99</v>
      </c>
      <c r="N181" s="1">
        <v>46191</v>
      </c>
      <c r="O181" s="1">
        <v>46235</v>
      </c>
      <c r="P181" s="1">
        <v>46222</v>
      </c>
      <c r="Q181" s="2">
        <v>22392.69</v>
      </c>
      <c r="R181" t="b">
        <v>0</v>
      </c>
      <c r="S181" s="2">
        <v>40000</v>
      </c>
      <c r="T181">
        <v>5231.44</v>
      </c>
      <c r="U181" t="s">
        <v>67</v>
      </c>
      <c r="X181">
        <f>Q181*1.16</f>
      </c>
    </row>
    <row r="182">
      <c r="A182" t="str">
        <f>B182</f>
        <v>BNC_HSBC_181</v>
      </c>
      <c r="B182" t="str">
        <f>HYPERLINK("https://drive.google.com/drive/folders/1Wry1qNYMSZ6i2w4gtsxzYN3o119XLjrC?usp=drive_link";"BNC_HSBC_181")</f>
        <v>BNC_HSBC_181</v>
      </c>
      <c r="C182" t="s">
        <v>38</v>
      </c>
      <c r="D182" t="s">
        <v>152</v>
      </c>
      <c r="E182" t="s">
        <v>571</v>
      </c>
      <c r="F182" t="s">
        <v>572</v>
      </c>
      <c r="G182" t="str">
        <f>HYPERLINK("https://www.google.com/maps/search/?api=1&amp;query=Av.%20Temuco%20360%2C%20Lomas%20del%20Sur%2C%2045653%20Tlajomulco%20de%20Zuniga%2C%20Jal.";"Av. Temuco 360, Lomas del Sur, 45653 Tlajomulco de Zuniga, Jal.")</f>
        <v>Av. Temuco 360, Lomas del Sur, 45653 Tlajomulco de Zuniga, Jal.</v>
      </c>
      <c r="H182" t="s">
        <v>28</v>
      </c>
      <c r="I182" t="s">
        <v>65</v>
      </c>
      <c r="J182" t="s">
        <v>30</v>
      </c>
      <c r="K182" t="s">
        <v>31</v>
      </c>
      <c r="L182" t="s">
        <v>32</v>
      </c>
      <c r="M182" t="s">
        <v>33</v>
      </c>
      <c r="N182" s="1">
        <v>46041</v>
      </c>
      <c r="Q182" s="2">
        <v>21866.27</v>
      </c>
      <c r="R182" t="b">
        <v>1</v>
      </c>
      <c r="S182" s="2">
        <v>80000</v>
      </c>
      <c r="T182" t="s">
        <v>34</v>
      </c>
      <c r="U182" t="s">
        <v>72</v>
      </c>
      <c r="X182">
        <f>Q182*1.16</f>
      </c>
    </row>
    <row r="183">
      <c r="A183" t="str">
        <f>B183</f>
        <v>PIC_TLAJO_182</v>
      </c>
      <c r="B183" t="str">
        <f>HYPERLINK("https://drive.google.com/drive/folders/1aR0FeVv8FPJr6NVJF9JuMXLRBpZBouCj";"PIC_TLAJO_182")</f>
        <v>PIC_TLAJO_182</v>
      </c>
      <c r="C183" t="s">
        <v>24</v>
      </c>
      <c r="D183" t="s">
        <v>55</v>
      </c>
      <c r="E183" t="s">
        <v>573</v>
      </c>
      <c r="F183" t="s">
        <v>574</v>
      </c>
      <c r="G183" t="str">
        <f>HYPERLINK("https://www.google.com/maps/search/?api=1&amp;query=Cerro%20de%20la%20Cruz%20397%2C%20Los%20Amiales%2C%2045654%20Tlajomulco%20de%20Zuniga%2C%20Jal.";"Cerro de la Cruz 397, Los Amiales, 45654 Tlajomulco de Zuniga, Jal.")</f>
        <v>Cerro de la Cruz 397, Los Amiales, 45654 Tlajomulco de Zuniga, Jal.</v>
      </c>
      <c r="H183" t="s">
        <v>42</v>
      </c>
      <c r="I183" t="s">
        <v>70</v>
      </c>
      <c r="J183" t="s">
        <v>44</v>
      </c>
      <c r="K183" t="s">
        <v>31</v>
      </c>
      <c r="L183" t="s">
        <v>32</v>
      </c>
      <c r="M183" t="s">
        <v>45</v>
      </c>
      <c r="N183" s="1">
        <v>46073</v>
      </c>
      <c r="R183" t="b">
        <v>0</v>
      </c>
      <c r="S183" s="2">
        <v>40000</v>
      </c>
      <c r="T183">
        <v>3635.62</v>
      </c>
      <c r="U183" t="s">
        <v>78</v>
      </c>
      <c r="X183">
        <f>Q183*1.16</f>
      </c>
    </row>
    <row r="184">
      <c r="A184" t="str">
        <f>B184</f>
        <v>PIC_TLAJO_183</v>
      </c>
      <c r="B184" t="str">
        <f>HYPERLINK("https://drive.google.com/drive/folders/1f1vQayWoxgdGjYC9HaGLR2cngtothgKd";"PIC_TLAJO_183")</f>
        <v>PIC_TLAJO_183</v>
      </c>
      <c r="C184" t="s">
        <v>24</v>
      </c>
      <c r="D184" t="s">
        <v>25</v>
      </c>
      <c r="E184" t="s">
        <v>575</v>
      </c>
      <c r="F184" t="s">
        <v>576</v>
      </c>
      <c r="G184" t="str">
        <f>HYPERLINK("https://www.google.com/maps/search/?api=1&amp;query=Cerro%20la%20Atalaya%20434%2C%20Villas%20de%20la%20Hacienda%2C%2045645%20Tlajomulco%20de%20Zuniga%2C%20Jal.";"Cerro la Atalaya 434, Villas de la Hacienda, 45645 Tlajomulco de Zuniga, Jal.")</f>
        <v>Cerro la Atalaya 434, Villas de la Hacienda, 45645 Tlajomulco de Zuniga, Jal.</v>
      </c>
      <c r="H184" t="s">
        <v>49</v>
      </c>
      <c r="I184" t="s">
        <v>76</v>
      </c>
      <c r="J184" t="s">
        <v>51</v>
      </c>
      <c r="K184" t="s">
        <v>31</v>
      </c>
      <c r="L184" t="s">
        <v>32</v>
      </c>
      <c r="M184" t="s">
        <v>52</v>
      </c>
      <c r="N184" s="1">
        <v>46102</v>
      </c>
      <c r="O184" s="1">
        <v>46149</v>
      </c>
      <c r="P184" s="1">
        <v>46116</v>
      </c>
      <c r="Q184" s="2">
        <v>29550.12</v>
      </c>
      <c r="R184" t="b">
        <v>0</v>
      </c>
      <c r="S184" s="2">
        <v>40000</v>
      </c>
      <c r="T184">
        <v>7728.38</v>
      </c>
      <c r="U184" t="s">
        <v>35</v>
      </c>
      <c r="W184" t="s">
        <v>577</v>
      </c>
      <c r="X184">
        <f>Q184*1.16</f>
      </c>
    </row>
    <row r="185">
      <c r="A185" t="str">
        <f>B185</f>
        <v>PIC_TLAJO_184</v>
      </c>
      <c r="B185" t="str">
        <f>HYPERLINK("https://drive.google.com/drive/folders/1nam3aCbHvyCwSC0mJbqdA3y6XdL6vBFk";"PIC_TLAJO_184")</f>
        <v>PIC_TLAJO_184</v>
      </c>
      <c r="C185" t="s">
        <v>24</v>
      </c>
      <c r="D185" t="s">
        <v>25</v>
      </c>
      <c r="E185" t="s">
        <v>578</v>
      </c>
      <c r="F185" t="s">
        <v>579</v>
      </c>
      <c r="G185" t="str">
        <f>HYPERLINK("https://www.google.com/maps/search/?api=1&amp;query=Monte%20Cabra%20471%2C%20El%20Palomar%2C%2045640%20Tlajomulco%20de%20Zuniga%2C%20Jal.";"Monte Cabra 471, El Palomar, 45640 Tlajomulco de Zuniga, Jal.")</f>
        <v>Monte Cabra 471, El Palomar, 45640 Tlajomulco de Zuniga, Jal.</v>
      </c>
      <c r="H185" t="s">
        <v>58</v>
      </c>
      <c r="I185" t="s">
        <v>81</v>
      </c>
      <c r="J185" t="s">
        <v>60</v>
      </c>
      <c r="K185" t="s">
        <v>31</v>
      </c>
      <c r="L185" t="s">
        <v>32</v>
      </c>
      <c r="M185" t="s">
        <v>61</v>
      </c>
      <c r="N185" s="1">
        <v>46134</v>
      </c>
      <c r="O185" s="1">
        <v>46182</v>
      </c>
      <c r="P185" s="1">
        <v>46149</v>
      </c>
      <c r="Q185" s="2">
        <v>28378.24</v>
      </c>
      <c r="R185" t="b">
        <v>0</v>
      </c>
      <c r="S185" s="2">
        <v>40000</v>
      </c>
      <c r="T185">
        <v>5252.14</v>
      </c>
      <c r="U185" t="s">
        <v>46</v>
      </c>
      <c r="V185" t="s">
        <v>580</v>
      </c>
      <c r="X185">
        <f>Q185*1.16</f>
      </c>
    </row>
    <row r="186">
      <c r="A186" t="str">
        <f>B186</f>
        <v>PIC_TLAJO_185</v>
      </c>
      <c r="B186" t="str">
        <f>HYPERLINK("https://drive.google.com/drive/folders/14inVWnxCKM0Lba7f9efBKaE0R1an1JGv";"PIC_TLAJO_185")</f>
        <v>PIC_TLAJO_185</v>
      </c>
      <c r="C186" t="s">
        <v>24</v>
      </c>
      <c r="D186" t="s">
        <v>25</v>
      </c>
      <c r="E186" t="s">
        <v>581</v>
      </c>
      <c r="F186" t="s">
        <v>582</v>
      </c>
      <c r="G186" t="str">
        <f>HYPERLINK("https://www.google.com/maps/search/?api=1&amp;query=Cerro%20de%20las%207%20Gotas%20108%2C%20Santa%20Fe%2C%2045653%20Tlajomulco%20de%20Zuniga%2C%20Jal.";"Cerro de las 7 Gotas 108, Santa Fe, 45653 Tlajomulco de Zuniga, Jal.")</f>
        <v>Cerro de las 7 Gotas 108, Santa Fe, 45653 Tlajomulco de Zuniga, Jal.</v>
      </c>
      <c r="H186" t="s">
        <v>28</v>
      </c>
      <c r="I186" t="s">
        <v>29</v>
      </c>
      <c r="J186" t="s">
        <v>30</v>
      </c>
      <c r="K186" t="s">
        <v>31</v>
      </c>
      <c r="L186" t="s">
        <v>32</v>
      </c>
      <c r="M186" t="s">
        <v>66</v>
      </c>
      <c r="N186" s="1">
        <v>46165</v>
      </c>
      <c r="O186" s="1">
        <v>46214</v>
      </c>
      <c r="P186" s="1">
        <v>46181</v>
      </c>
      <c r="Q186" s="2">
        <v>29875.83</v>
      </c>
      <c r="R186" t="b">
        <v>0</v>
      </c>
      <c r="S186" s="2">
        <v>40000</v>
      </c>
      <c r="T186" t="s">
        <v>34</v>
      </c>
      <c r="U186" t="s">
        <v>53</v>
      </c>
      <c r="V186" t="s">
        <v>583</v>
      </c>
      <c r="W186" t="s">
        <v>584</v>
      </c>
      <c r="X186">
        <f>Q186*1.16</f>
      </c>
    </row>
    <row r="187">
      <c r="A187" t="str">
        <f>B187</f>
        <v>PIC_TLAJO_186</v>
      </c>
      <c r="B187" t="str">
        <f>HYPERLINK("https://drive.google.com/drive/folders/1GF75atoE6cirFGEwdAz1zNEY0qXKMWkX?usp=drive_link";"PIC_TLAJO_186")</f>
        <v>PIC_TLAJO_186</v>
      </c>
      <c r="C187" t="s">
        <v>24</v>
      </c>
      <c r="D187" t="s">
        <v>25</v>
      </c>
      <c r="E187" t="s">
        <v>585</v>
      </c>
      <c r="F187" t="s">
        <v>586</v>
      </c>
      <c r="G187" t="str">
        <f>HYPERLINK("https://www.google.com/maps/search/?api=1&amp;query=Esteli%20145%2C%20Hacienda%20Santa%20Fe%2C%2045654%20Tlajomulco%20de%20Zuniga%2C%20Jal.";"Esteli 145, Hacienda Santa Fe, 45654 Tlajomulco de Zuniga, Jal.")</f>
        <v>Esteli 145, Hacienda Santa Fe, 45654 Tlajomulco de Zuniga, Jal.</v>
      </c>
      <c r="H187" t="s">
        <v>42</v>
      </c>
      <c r="I187" t="s">
        <v>43</v>
      </c>
      <c r="J187" t="s">
        <v>44</v>
      </c>
      <c r="K187" t="s">
        <v>31</v>
      </c>
      <c r="L187" t="s">
        <v>32</v>
      </c>
      <c r="M187" t="s">
        <v>71</v>
      </c>
      <c r="N187" s="1">
        <v>46197</v>
      </c>
      <c r="O187" s="1">
        <v>46247</v>
      </c>
      <c r="P187" s="1">
        <v>46214</v>
      </c>
      <c r="Q187" s="2">
        <v>33595.97</v>
      </c>
      <c r="R187" t="b">
        <v>0</v>
      </c>
      <c r="S187" s="2">
        <v>40000</v>
      </c>
      <c r="T187">
        <v>3784.21</v>
      </c>
      <c r="U187" t="s">
        <v>62</v>
      </c>
      <c r="W187" t="s">
        <v>587</v>
      </c>
      <c r="X187">
        <f>Q187*1.16</f>
      </c>
    </row>
    <row r="188">
      <c r="A188" t="str">
        <f>B188</f>
        <v>PIC_TLAJO_187</v>
      </c>
      <c r="B188" t="str">
        <f>HYPERLINK("https://drive.google.com/drive/folders/1VMgsUyFYYUkuiZUia1ZSptStp1T9DZAP";"PIC_TLAJO_187")</f>
        <v>PIC_TLAJO_187</v>
      </c>
      <c r="C188" t="s">
        <v>24</v>
      </c>
      <c r="D188" t="s">
        <v>39</v>
      </c>
      <c r="E188" t="s">
        <v>588</v>
      </c>
      <c r="F188" t="s">
        <v>589</v>
      </c>
      <c r="G188" t="str">
        <f>HYPERLINK("https://www.google.com/maps/search/?api=1&amp;query=Montevideo%20182%2C%20Chulavista%2C%2045645%20Tlajomulco%20de%20Zuniga%2C%20Jal.";"Montevideo 182, Chulavista, 45645 Tlajomulco de Zuniga, Jal.")</f>
        <v>Montevideo 182, Chulavista, 45645 Tlajomulco de Zuniga, Jal.</v>
      </c>
      <c r="H188" t="s">
        <v>49</v>
      </c>
      <c r="I188" t="s">
        <v>50</v>
      </c>
      <c r="J188" t="s">
        <v>51</v>
      </c>
      <c r="K188" t="s">
        <v>31</v>
      </c>
      <c r="L188" t="s">
        <v>32</v>
      </c>
      <c r="M188" t="s">
        <v>77</v>
      </c>
      <c r="N188" s="1">
        <v>46047</v>
      </c>
      <c r="Q188" s="2">
        <v>15450.23</v>
      </c>
      <c r="R188" t="b">
        <v>0</v>
      </c>
      <c r="S188" s="2">
        <v>40000</v>
      </c>
      <c r="T188">
        <v>5238.14</v>
      </c>
      <c r="U188" t="s">
        <v>67</v>
      </c>
      <c r="X188">
        <f>Q188*1.16</f>
      </c>
    </row>
    <row r="189">
      <c r="A189" t="str">
        <f>B189</f>
        <v>PIC_TLAJO_188</v>
      </c>
      <c r="B189" t="str">
        <f>HYPERLINK("https://drive.google.com/drive/folders/1LSAmTifEzj6PTbhqGe5MHH6gxVoW3BSw";"PIC_TLAJO_188")</f>
        <v>PIC_TLAJO_188</v>
      </c>
      <c r="C189" t="s">
        <v>24</v>
      </c>
      <c r="D189" t="s">
        <v>25</v>
      </c>
      <c r="E189" t="s">
        <v>590</v>
      </c>
      <c r="F189" t="s">
        <v>591</v>
      </c>
      <c r="G189" t="str">
        <f>HYPERLINK("https://www.google.com/maps/search/?api=1&amp;query=Av.%20Bogota%20219%2C%20LOMAS%2C%2045640%20Tlajomulco%20de%20Zuniga%2C%20Jal.";"Av. Bogota 219, LOMAS, 45640 Tlajomulco de Zuniga, Jal.")</f>
        <v>Av. Bogota 219, LOMAS, 45640 Tlajomulco de Zuniga, Jal.</v>
      </c>
      <c r="H189" t="s">
        <v>58</v>
      </c>
      <c r="I189" t="s">
        <v>59</v>
      </c>
      <c r="J189" t="s">
        <v>60</v>
      </c>
      <c r="K189" t="s">
        <v>31</v>
      </c>
      <c r="L189" t="s">
        <v>32</v>
      </c>
      <c r="M189" t="s">
        <v>82</v>
      </c>
      <c r="N189" s="1">
        <v>46079</v>
      </c>
      <c r="O189" s="1">
        <v>46131</v>
      </c>
      <c r="P189" s="1">
        <v>46098</v>
      </c>
      <c r="Q189" s="2">
        <v>24966.55</v>
      </c>
      <c r="R189" t="b">
        <v>0</v>
      </c>
      <c r="S189" s="2">
        <v>40000</v>
      </c>
      <c r="T189">
        <v>6409.63</v>
      </c>
      <c r="U189" t="s">
        <v>72</v>
      </c>
      <c r="V189" t="s">
        <v>592</v>
      </c>
      <c r="X189">
        <f>Q189*1.16</f>
      </c>
    </row>
    <row r="190">
      <c r="A190" t="str">
        <f>B190</f>
        <v>PRV_INFVT_189</v>
      </c>
      <c r="B190" t="str">
        <f>HYPERLINK("https://drive.google.com/drive/folders/1PAeW9x8QfLf6jDx3HRVUs4BK5Lu1FJGp";"PRV_INFVT_189")</f>
        <v>PRV_INFVT_189</v>
      </c>
      <c r="C190" t="s">
        <v>83</v>
      </c>
      <c r="D190" t="s">
        <v>25</v>
      </c>
      <c r="E190" t="s">
        <v>593</v>
      </c>
      <c r="F190" t="s">
        <v>594</v>
      </c>
      <c r="G190" t="str">
        <f>HYPERLINK("https://www.google.com/maps/search/?api=1&amp;query=Blvd.%20Republica%20de%20Honduras%20256%2C%20Lomas%20del%20Sur%2C%2045653%20Tlajomulco%20de%20Zuniga%2C%20Jal.";"Blvd. Republica de Honduras 256, Lomas del Sur, 45653 Tlajomulco de Zuniga, Jal.")</f>
        <v>Blvd. Republica de Honduras 256, Lomas del Sur, 45653 Tlajomulco de Zuniga, Jal.</v>
      </c>
      <c r="H190" t="s">
        <v>28</v>
      </c>
      <c r="I190" t="s">
        <v>65</v>
      </c>
      <c r="J190" t="s">
        <v>30</v>
      </c>
      <c r="K190" t="s">
        <v>31</v>
      </c>
      <c r="L190" t="s">
        <v>32</v>
      </c>
      <c r="M190" t="s">
        <v>86</v>
      </c>
      <c r="N190" s="1">
        <v>46108</v>
      </c>
      <c r="O190" s="1">
        <v>46161</v>
      </c>
      <c r="P190" s="1">
        <v>46128</v>
      </c>
      <c r="Q190" s="2">
        <v>26242.92</v>
      </c>
      <c r="R190" t="b">
        <v>0</v>
      </c>
      <c r="S190" s="2">
        <v>40000</v>
      </c>
      <c r="T190" t="s">
        <v>34</v>
      </c>
      <c r="U190" t="s">
        <v>78</v>
      </c>
      <c r="W190" t="s">
        <v>595</v>
      </c>
      <c r="X190">
        <f>Q190*1.16</f>
      </c>
    </row>
    <row r="191">
      <c r="A191" t="str">
        <f>B191</f>
        <v>PIC_TLAJO_190</v>
      </c>
      <c r="B191" t="str">
        <f>HYPERLINK("https://drive.google.com/drive/folders/1PBuFgsPiJTZHhBFyYX7VC3ztrpeUjFJ0";"PIC_TLAJO_190")</f>
        <v>PIC_TLAJO_190</v>
      </c>
      <c r="C191" t="s">
        <v>24</v>
      </c>
      <c r="D191" t="s">
        <v>100</v>
      </c>
      <c r="E191" t="s">
        <v>596</v>
      </c>
      <c r="F191" t="s">
        <v>597</v>
      </c>
      <c r="G191" t="str">
        <f>HYPERLINK("https://www.google.com/maps/search/?api=1&amp;query=Paseo%20de%20los%20Agaves%20293%2C%20Los%20Amiales%2C%2045654%20Tlajomulco%20de%20Zuniga%2C%20Jal.";"Paseo de los Agaves 293, Los Amiales, 45654 Tlajomulco de Zuniga, Jal.")</f>
        <v>Paseo de los Agaves 293, Los Amiales, 45654 Tlajomulco de Zuniga, Jal.</v>
      </c>
      <c r="H191" t="s">
        <v>42</v>
      </c>
      <c r="I191" t="s">
        <v>70</v>
      </c>
      <c r="J191" t="s">
        <v>44</v>
      </c>
      <c r="K191" t="s">
        <v>31</v>
      </c>
      <c r="L191" t="s">
        <v>32</v>
      </c>
      <c r="M191" t="s">
        <v>89</v>
      </c>
      <c r="N191" s="1">
        <v>46113</v>
      </c>
      <c r="O191" s="1">
        <v>46167</v>
      </c>
      <c r="P191" s="1">
        <v>46134</v>
      </c>
      <c r="Q191" s="2">
        <v>30649.86</v>
      </c>
      <c r="R191" t="b">
        <v>1</v>
      </c>
      <c r="S191" s="2">
        <v>80000</v>
      </c>
      <c r="T191">
        <v>7197.44</v>
      </c>
      <c r="U191" t="s">
        <v>35</v>
      </c>
      <c r="V191" t="s">
        <v>598</v>
      </c>
      <c r="W191" t="s">
        <v>599</v>
      </c>
      <c r="X191">
        <f>Q191*1.16</f>
      </c>
    </row>
    <row r="192">
      <c r="A192" t="str">
        <f>B192</f>
        <v>PRV_INFVT_191</v>
      </c>
      <c r="B192" t="str">
        <f>HYPERLINK("https://drive.google.com/drive/folders/1zaKT24Bytu8LVrEP0TdLKQSvoty4NRfJ?usp=drive_link";"PRV_INFVT_191")</f>
        <v>PRV_INFVT_191</v>
      </c>
      <c r="C192" t="s">
        <v>83</v>
      </c>
      <c r="D192" t="s">
        <v>55</v>
      </c>
      <c r="E192" t="s">
        <v>600</v>
      </c>
      <c r="F192" t="s">
        <v>601</v>
      </c>
      <c r="G192" t="str">
        <f>HYPERLINK("https://www.google.com/maps/search/?api=1&amp;query=Volcan%20Paricutin%20330%2C%20Villas%20de%20la%20Hacienda%2C%2045645%20Tlajomulco%20de%20Zuniga%2C%20Jal.";"Volcan Paricutin 330, Villas de la Hacienda, 45645 Tlajomulco de Zuniga, Jal.")</f>
        <v>Volcan Paricutin 330, Villas de la Hacienda, 45645 Tlajomulco de Zuniga, Jal.</v>
      </c>
      <c r="H192" t="s">
        <v>49</v>
      </c>
      <c r="I192" t="s">
        <v>76</v>
      </c>
      <c r="J192" t="s">
        <v>51</v>
      </c>
      <c r="K192" t="s">
        <v>31</v>
      </c>
      <c r="L192" t="s">
        <v>32</v>
      </c>
      <c r="M192" t="s">
        <v>94</v>
      </c>
      <c r="N192" s="1">
        <v>46144</v>
      </c>
      <c r="R192" t="b">
        <v>0</v>
      </c>
      <c r="S192" s="2">
        <v>40000</v>
      </c>
      <c r="T192">
        <v>7785.11</v>
      </c>
      <c r="U192" t="s">
        <v>46</v>
      </c>
      <c r="X192">
        <f>Q192*1.16</f>
      </c>
    </row>
    <row r="193">
      <c r="A193" t="str">
        <f>B193</f>
        <v>BNC_HSBC_192</v>
      </c>
      <c r="B193" t="str">
        <f>HYPERLINK("https://drive.google.com/drive/folders/1VVECRHPXSAy9uXPYu6xGxbm1sVvsvKXq";"BNC_HSBC_192")</f>
        <v>BNC_HSBC_192</v>
      </c>
      <c r="C193" t="s">
        <v>38</v>
      </c>
      <c r="D193" t="s">
        <v>152</v>
      </c>
      <c r="E193" t="s">
        <v>602</v>
      </c>
      <c r="F193" t="s">
        <v>603</v>
      </c>
      <c r="G193" t="str">
        <f>HYPERLINK("https://www.google.com/maps/search/?api=1&amp;query=Loma%20Dorada%20367%2C%20El%20Palomar%2C%2045640%20Tlajomulco%20de%20Zuniga%2C%20Jal.";"Loma Dorada 367, El Palomar, 45640 Tlajomulco de Zuniga, Jal.")</f>
        <v>Loma Dorada 367, El Palomar, 45640 Tlajomulco de Zuniga, Jal.</v>
      </c>
      <c r="H193" t="s">
        <v>58</v>
      </c>
      <c r="I193" t="s">
        <v>81</v>
      </c>
      <c r="J193" t="s">
        <v>60</v>
      </c>
      <c r="K193" t="s">
        <v>31</v>
      </c>
      <c r="L193" t="s">
        <v>32</v>
      </c>
      <c r="M193" t="s">
        <v>99</v>
      </c>
      <c r="N193" s="1">
        <v>46176</v>
      </c>
      <c r="R193" t="b">
        <v>0</v>
      </c>
      <c r="S193" s="2">
        <v>40000</v>
      </c>
      <c r="T193">
        <v>5800.45</v>
      </c>
      <c r="U193" t="s">
        <v>53</v>
      </c>
      <c r="X193">
        <f>Q193*1.16</f>
      </c>
    </row>
    <row r="194">
      <c r="A194" t="str">
        <f>B194</f>
        <v>PRV_INFVT_193</v>
      </c>
      <c r="B194" t="str">
        <f>HYPERLINK("https://drive.google.com/drive/folders/1mkr0wM14DeiB03qvrEdNkNVjYkVow0Vh";"PRV_INFVT_193")</f>
        <v>PRV_INFVT_193</v>
      </c>
      <c r="C194" t="s">
        <v>83</v>
      </c>
      <c r="D194" t="s">
        <v>25</v>
      </c>
      <c r="E194" t="s">
        <v>604</v>
      </c>
      <c r="F194" t="s">
        <v>605</v>
      </c>
      <c r="G194" t="str">
        <f>HYPERLINK("https://www.google.com/maps/search/?api=1&amp;query=Real%20de%20Minas%20404%2C%20Santa%20Fe%2C%2045653%20Tlajomulco%20de%20Zuniga%2C%20Jal.";"Real de Minas 404, Santa Fe, 45653 Tlajomulco de Zuniga, Jal.")</f>
        <v>Real de Minas 404, Santa Fe, 45653 Tlajomulco de Zuniga, Jal.</v>
      </c>
      <c r="H194" t="s">
        <v>28</v>
      </c>
      <c r="I194" t="s">
        <v>29</v>
      </c>
      <c r="J194" t="s">
        <v>30</v>
      </c>
      <c r="K194" t="s">
        <v>31</v>
      </c>
      <c r="L194" t="s">
        <v>32</v>
      </c>
      <c r="M194" t="s">
        <v>33</v>
      </c>
      <c r="N194" s="1">
        <v>46026</v>
      </c>
      <c r="P194" s="1">
        <v>46050</v>
      </c>
      <c r="Q194" s="2">
        <v>22197.7</v>
      </c>
      <c r="R194" t="b">
        <v>0</v>
      </c>
      <c r="S194" s="2">
        <v>40000</v>
      </c>
      <c r="T194" t="s">
        <v>34</v>
      </c>
      <c r="U194" t="s">
        <v>62</v>
      </c>
      <c r="V194" t="s">
        <v>606</v>
      </c>
      <c r="W194" t="s">
        <v>607</v>
      </c>
      <c r="X194">
        <f>Q194*1.16</f>
      </c>
    </row>
    <row r="195">
      <c r="A195" t="str">
        <f>B195</f>
        <v>PIC_TLAJO_194</v>
      </c>
      <c r="B195" t="str">
        <f>HYPERLINK("https://drive.google.com/drive/folders/1qvTnDenGKdgQs2actXfitpCEvneWabrL";"PIC_TLAJO_194")</f>
        <v>PIC_TLAJO_194</v>
      </c>
      <c r="C195" t="s">
        <v>24</v>
      </c>
      <c r="D195" t="s">
        <v>152</v>
      </c>
      <c r="E195" t="s">
        <v>608</v>
      </c>
      <c r="F195" t="s">
        <v>609</v>
      </c>
      <c r="G195" t="str">
        <f>HYPERLINK("https://www.google.com/maps/search/?api=1&amp;query=Camino%20Real%20441%2C%20Hacienda%20Santa%20Fe%2C%2045654%20Tlajomulco%20de%20Zuniga%2C%20Jal.";"Camino Real 441, Hacienda Santa Fe, 45654 Tlajomulco de Zuniga, Jal.")</f>
        <v>Camino Real 441, Hacienda Santa Fe, 45654 Tlajomulco de Zuniga, Jal.</v>
      </c>
      <c r="H195" t="s">
        <v>42</v>
      </c>
      <c r="I195" t="s">
        <v>43</v>
      </c>
      <c r="J195" t="s">
        <v>44</v>
      </c>
      <c r="K195" t="s">
        <v>31</v>
      </c>
      <c r="L195" t="s">
        <v>32</v>
      </c>
      <c r="M195" t="s">
        <v>45</v>
      </c>
      <c r="N195" s="1">
        <v>46058</v>
      </c>
      <c r="R195" t="b">
        <v>0</v>
      </c>
      <c r="S195" s="2">
        <v>40000</v>
      </c>
      <c r="T195">
        <v>2438.03</v>
      </c>
      <c r="U195" t="s">
        <v>67</v>
      </c>
      <c r="X195">
        <f>Q195*1.16</f>
      </c>
    </row>
    <row r="196">
      <c r="A196" t="str">
        <f>B196</f>
        <v>PRV_INFVT_195</v>
      </c>
      <c r="B196" t="str">
        <f>HYPERLINK("https://drive.google.com/drive/folders/14jDm3Y1ouRrxd9CjYJw7quj9vRfsruKX";"PRV_INFVT_195")</f>
        <v>PRV_INFVT_195</v>
      </c>
      <c r="C196" t="s">
        <v>83</v>
      </c>
      <c r="D196" t="s">
        <v>25</v>
      </c>
      <c r="E196" t="s">
        <v>610</v>
      </c>
      <c r="F196" t="s">
        <v>611</v>
      </c>
      <c r="G196" t="str">
        <f>HYPERLINK("https://www.google.com/maps/search/?api=1&amp;query=Rinconada%20del%20Sol%20478%2C%20Chulavista%2C%2045645%20Tlajomulco%20de%20Zuniga%2C%20Jal.";"Rinconada del Sol 478, Chulavista, 45645 Tlajomulco de Zuniga, Jal.")</f>
        <v>Rinconada del Sol 478, Chulavista, 45645 Tlajomulco de Zuniga, Jal.</v>
      </c>
      <c r="H196" t="s">
        <v>49</v>
      </c>
      <c r="I196" t="s">
        <v>50</v>
      </c>
      <c r="J196" t="s">
        <v>51</v>
      </c>
      <c r="K196" t="s">
        <v>31</v>
      </c>
      <c r="L196" t="s">
        <v>32</v>
      </c>
      <c r="M196" t="s">
        <v>52</v>
      </c>
      <c r="N196" s="1">
        <v>46087</v>
      </c>
      <c r="O196" s="1">
        <v>46146</v>
      </c>
      <c r="P196" s="1">
        <v>46113</v>
      </c>
      <c r="Q196" s="2">
        <v>18908.44</v>
      </c>
      <c r="R196" t="b">
        <v>0</v>
      </c>
      <c r="S196" s="2">
        <v>40000</v>
      </c>
      <c r="T196">
        <v>8320.12</v>
      </c>
      <c r="U196" t="s">
        <v>72</v>
      </c>
      <c r="W196" t="s">
        <v>612</v>
      </c>
      <c r="X196">
        <f>Q196*1.16</f>
      </c>
    </row>
    <row r="197">
      <c r="A197" t="str">
        <f>B197</f>
        <v>PIC_TLAJO_196</v>
      </c>
      <c r="B197" t="str">
        <f>HYPERLINK("https://drive.google.com/drive/folders/1KahKjycF6UoxfUyP7B0T3xynGWBtLc1z?usp=drive_link";"PIC_TLAJO_196")</f>
        <v>PIC_TLAJO_196</v>
      </c>
      <c r="C197" t="s">
        <v>24</v>
      </c>
      <c r="D197" t="s">
        <v>39</v>
      </c>
      <c r="E197" t="s">
        <v>613</v>
      </c>
      <c r="F197" t="s">
        <v>614</v>
      </c>
      <c r="G197" t="str">
        <f>HYPERLINK("https://www.google.com/maps/search/?api=1&amp;query=Hacienda%20Vieja%20115%2C%20LOMAS%2C%2045640%20Tlajomulco%20de%20Zuniga%2C%20Jal.";"Hacienda Vieja 115, LOMAS, 45640 Tlajomulco de Zuniga, Jal.")</f>
        <v>Hacienda Vieja 115, LOMAS, 45640 Tlajomulco de Zuniga, Jal.</v>
      </c>
      <c r="H197" t="s">
        <v>58</v>
      </c>
      <c r="I197" t="s">
        <v>59</v>
      </c>
      <c r="J197" t="s">
        <v>60</v>
      </c>
      <c r="K197" t="s">
        <v>31</v>
      </c>
      <c r="L197" t="s">
        <v>32</v>
      </c>
      <c r="M197" t="s">
        <v>61</v>
      </c>
      <c r="N197" s="1">
        <v>46119</v>
      </c>
      <c r="Q197" s="2">
        <v>17519.68</v>
      </c>
      <c r="R197" t="b">
        <v>0</v>
      </c>
      <c r="S197" s="2">
        <v>40000</v>
      </c>
      <c r="T197">
        <v>1390.07</v>
      </c>
      <c r="U197" t="s">
        <v>78</v>
      </c>
      <c r="X197">
        <f>Q197*1.16</f>
      </c>
    </row>
    <row r="198">
      <c r="A198" t="str">
        <f>B198</f>
        <v>PIC_TLAJO_197</v>
      </c>
      <c r="B198" t="str">
        <f>HYPERLINK("https://drive.google.com/drive/folders/17kBzenHD51sTpW744jNEEgKk6Z6zjrkv";"PIC_TLAJO_197")</f>
        <v>PIC_TLAJO_197</v>
      </c>
      <c r="C198" t="s">
        <v>24</v>
      </c>
      <c r="D198" t="s">
        <v>25</v>
      </c>
      <c r="E198" t="s">
        <v>615</v>
      </c>
      <c r="F198" t="s">
        <v>616</v>
      </c>
      <c r="G198" t="str">
        <f>HYPERLINK("https://www.google.com/maps/search/?api=1&amp;query=Portal%20de%20San%20Juan%20152%2C%20Lomas%20del%20Sur%2C%2045653%20Tlajomulco%20de%20Zuniga%2C%20Jal.";"Portal de San Juan 152, Lomas del Sur, 45653 Tlajomulco de Zuniga, Jal.")</f>
        <v>Portal de San Juan 152, Lomas del Sur, 45653 Tlajomulco de Zuniga, Jal.</v>
      </c>
      <c r="H198" t="s">
        <v>28</v>
      </c>
      <c r="I198" t="s">
        <v>65</v>
      </c>
      <c r="J198" t="s">
        <v>30</v>
      </c>
      <c r="K198" t="s">
        <v>31</v>
      </c>
      <c r="L198" t="s">
        <v>32</v>
      </c>
      <c r="M198" t="s">
        <v>66</v>
      </c>
      <c r="N198" s="1">
        <v>46150</v>
      </c>
      <c r="O198" s="1">
        <v>46211</v>
      </c>
      <c r="P198" s="1">
        <v>46178</v>
      </c>
      <c r="Q198" s="2">
        <v>32957.41</v>
      </c>
      <c r="R198" t="b">
        <v>0</v>
      </c>
      <c r="S198" s="2">
        <v>40000</v>
      </c>
      <c r="T198" t="s">
        <v>34</v>
      </c>
      <c r="U198" t="s">
        <v>35</v>
      </c>
      <c r="V198" t="s">
        <v>617</v>
      </c>
      <c r="W198" t="s">
        <v>618</v>
      </c>
      <c r="X198">
        <f>Q198*1.16</f>
      </c>
    </row>
    <row r="199">
      <c r="A199" t="str">
        <f>B199</f>
        <v>PRV_INFVT_198</v>
      </c>
      <c r="B199" t="str">
        <f>HYPERLINK("https://drive.google.com/drive/folders/1YcxTsQyfxh2opHo3asaYqTmTDxSX8UMV";"PRV_INFVT_198")</f>
        <v>PRV_INFVT_198</v>
      </c>
      <c r="C199" t="s">
        <v>83</v>
      </c>
      <c r="D199" t="s">
        <v>55</v>
      </c>
      <c r="E199" t="s">
        <v>619</v>
      </c>
      <c r="F199" t="s">
        <v>620</v>
      </c>
      <c r="G199" t="str">
        <f>HYPERLINK("https://www.google.com/maps/search/?api=1&amp;query=Valle%20de%20Toluca%20189%2C%20Los%20Amiales%2C%2045654%20Tlajomulco%20de%20Zuniga%2C%20Jal.";"Valle de Toluca 189, Los Amiales, 45654 Tlajomulco de Zuniga, Jal.")</f>
        <v>Valle de Toluca 189, Los Amiales, 45654 Tlajomulco de Zuniga, Jal.</v>
      </c>
      <c r="H199" t="s">
        <v>42</v>
      </c>
      <c r="I199" t="s">
        <v>70</v>
      </c>
      <c r="J199" t="s">
        <v>44</v>
      </c>
      <c r="K199" t="s">
        <v>31</v>
      </c>
      <c r="L199" t="s">
        <v>32</v>
      </c>
      <c r="M199" t="s">
        <v>71</v>
      </c>
      <c r="N199" s="1">
        <v>46182</v>
      </c>
      <c r="R199" t="b">
        <v>0</v>
      </c>
      <c r="S199" s="2">
        <v>40000</v>
      </c>
      <c r="T199">
        <v>8896.48</v>
      </c>
      <c r="U199" t="s">
        <v>46</v>
      </c>
      <c r="X199">
        <f>Q199*1.16</f>
      </c>
    </row>
    <row r="200">
      <c r="A200" t="str">
        <f>B200</f>
        <v>PIC_TLAJO_199</v>
      </c>
      <c r="B200" t="str">
        <f>HYPERLINK("https://drive.google.com/drive/folders/1JaM4Bdf5iCXVDTD8PfaxtDHcu1VzwuBk";"PIC_TLAJO_199")</f>
        <v>PIC_TLAJO_199</v>
      </c>
      <c r="C200" t="s">
        <v>24</v>
      </c>
      <c r="D200" t="s">
        <v>152</v>
      </c>
      <c r="E200" t="s">
        <v>621</v>
      </c>
      <c r="F200" t="s">
        <v>622</v>
      </c>
      <c r="G200" t="str">
        <f>HYPERLINK("https://www.google.com/maps/search/?api=1&amp;query=Cerro%20Gordo%20226%2C%20Villas%20de%20la%20Hacienda%2C%2045645%20Tlajomulco%20de%20Zuniga%2C%20Jal.";"Cerro Gordo 226, Villas de la Hacienda, 45645 Tlajomulco de Zuniga, Jal.")</f>
        <v>Cerro Gordo 226, Villas de la Hacienda, 45645 Tlajomulco de Zuniga, Jal.</v>
      </c>
      <c r="H200" t="s">
        <v>49</v>
      </c>
      <c r="I200" t="s">
        <v>76</v>
      </c>
      <c r="J200" t="s">
        <v>51</v>
      </c>
      <c r="K200" t="s">
        <v>31</v>
      </c>
      <c r="L200" t="s">
        <v>32</v>
      </c>
      <c r="M200" t="s">
        <v>77</v>
      </c>
      <c r="N200" s="1">
        <v>46032</v>
      </c>
      <c r="Q200" s="2">
        <v>15962.28</v>
      </c>
      <c r="R200" t="b">
        <v>1</v>
      </c>
      <c r="S200" s="2">
        <v>80000</v>
      </c>
      <c r="T200">
        <v>3322.52</v>
      </c>
      <c r="U200" t="s">
        <v>53</v>
      </c>
      <c r="X200">
        <f>Q200*1.16</f>
      </c>
    </row>
    <row r="201">
      <c r="A201" t="str">
        <f>B201</f>
        <v>PIC_TLAJO_200</v>
      </c>
      <c r="B201" t="str">
        <f>HYPERLINK("https://drive.google.com/drive/folders/1YdMeRq2aEE73xVc1V2PHXz0o8hoifQxD";"PIC_TLAJO_200")</f>
        <v>PIC_TLAJO_200</v>
      </c>
      <c r="C201" t="s">
        <v>24</v>
      </c>
      <c r="D201" t="s">
        <v>25</v>
      </c>
      <c r="E201" t="s">
        <v>623</v>
      </c>
      <c r="F201" t="s">
        <v>624</v>
      </c>
      <c r="G201" t="str">
        <f>HYPERLINK("https://www.google.com/maps/search/?api=1&amp;query=Prado%20Sur%20263%2C%20El%20Palomar%2C%2045640%20Tlajomulco%20de%20Zuniga%2C%20Jal.";"Prado Sur 263, El Palomar, 45640 Tlajomulco de Zuniga, Jal.")</f>
        <v>Prado Sur 263, El Palomar, 45640 Tlajomulco de Zuniga, Jal.</v>
      </c>
      <c r="H201" t="s">
        <v>58</v>
      </c>
      <c r="I201" t="s">
        <v>81</v>
      </c>
      <c r="J201" t="s">
        <v>60</v>
      </c>
      <c r="K201" t="s">
        <v>31</v>
      </c>
      <c r="L201" t="s">
        <v>32</v>
      </c>
      <c r="M201" t="s">
        <v>82</v>
      </c>
      <c r="N201" s="1">
        <v>46064</v>
      </c>
      <c r="O201" s="1">
        <v>46128</v>
      </c>
      <c r="P201" s="1">
        <v>46095</v>
      </c>
      <c r="Q201" s="2">
        <v>29446.22</v>
      </c>
      <c r="R201" t="b">
        <v>0</v>
      </c>
      <c r="S201" s="2">
        <v>40000</v>
      </c>
      <c r="T201">
        <v>5483.32</v>
      </c>
      <c r="U201" t="s">
        <v>62</v>
      </c>
      <c r="V201" t="s">
        <v>625</v>
      </c>
      <c r="X201">
        <f>Q201*1.16</f>
      </c>
    </row>
    <row r="202">
      <c r="A202" t="str">
        <f>B202</f>
        <v>PRV_INFVT_201</v>
      </c>
      <c r="B202" t="str">
        <f>HYPERLINK("https://drive.google.com/drive/folders/1bi2mjoutwPdEKhPTgW62AzVZAA0ec3rg?usp=drive_link";"PRV_INFVT_201")</f>
        <v>PRV_INFVT_201</v>
      </c>
      <c r="C202" t="s">
        <v>83</v>
      </c>
      <c r="D202" t="s">
        <v>426</v>
      </c>
      <c r="E202" t="s">
        <v>626</v>
      </c>
      <c r="F202" t="s">
        <v>627</v>
      </c>
      <c r="G202" t="str">
        <f>HYPERLINK("https://www.google.com/maps/search/?api=1&amp;query=Av.%20Temuco%20300%2C%20Santa%20Fe%2C%2045653%20Tlajomulco%20de%20Zuniga%2C%20Jal.";"Av. Temuco 300, Santa Fe, 45653 Tlajomulco de Zuniga, Jal.")</f>
        <v>Av. Temuco 300, Santa Fe, 45653 Tlajomulco de Zuniga, Jal.</v>
      </c>
      <c r="H202" t="s">
        <v>28</v>
      </c>
      <c r="I202" t="s">
        <v>29</v>
      </c>
      <c r="J202" t="s">
        <v>30</v>
      </c>
      <c r="K202" t="s">
        <v>31</v>
      </c>
      <c r="L202" t="s">
        <v>32</v>
      </c>
      <c r="M202" t="s">
        <v>86</v>
      </c>
      <c r="N202" s="1">
        <v>46093</v>
      </c>
      <c r="R202" t="b">
        <v>0</v>
      </c>
      <c r="S202" s="2">
        <v>40000</v>
      </c>
      <c r="T202" t="s">
        <v>34</v>
      </c>
      <c r="U202" t="s">
        <v>67</v>
      </c>
      <c r="X202">
        <f>Q202*1.16</f>
      </c>
    </row>
    <row r="203">
      <c r="A203" t="str">
        <f>B203</f>
        <v>BNC_HSBC_202</v>
      </c>
      <c r="B203" t="str">
        <f>HYPERLINK("https://drive.google.com/drive/folders/1kreim8GmWmLHftGszVzvpFeBm8bKq5Fo";"BNC_HSBC_202")</f>
        <v>BNC_HSBC_202</v>
      </c>
      <c r="C203" t="s">
        <v>38</v>
      </c>
      <c r="D203" t="s">
        <v>100</v>
      </c>
      <c r="E203" t="s">
        <v>628</v>
      </c>
      <c r="F203" t="s">
        <v>629</v>
      </c>
      <c r="G203" t="str">
        <f>HYPERLINK("https://www.google.com/maps/search/?api=1&amp;query=Cerro%20de%20la%20Cruz%20337%2C%20Hacienda%20Santa%20Fe%2C%2045654%20Tlajomulco%20de%20Zuniga%2C%20Jal.";"Cerro de la Cruz 337, Hacienda Santa Fe, 45654 Tlajomulco de Zuniga, Jal.")</f>
        <v>Cerro de la Cruz 337, Hacienda Santa Fe, 45654 Tlajomulco de Zuniga, Jal.</v>
      </c>
      <c r="H203" t="s">
        <v>42</v>
      </c>
      <c r="I203" t="s">
        <v>43</v>
      </c>
      <c r="J203" t="s">
        <v>44</v>
      </c>
      <c r="K203" t="s">
        <v>31</v>
      </c>
      <c r="L203" t="s">
        <v>32</v>
      </c>
      <c r="M203" t="s">
        <v>89</v>
      </c>
      <c r="N203" s="1">
        <v>46125</v>
      </c>
      <c r="O203" s="1">
        <v>46151</v>
      </c>
      <c r="P203" s="1">
        <v>46138</v>
      </c>
      <c r="Q203" s="2">
        <v>26831.98</v>
      </c>
      <c r="R203" t="b">
        <v>0</v>
      </c>
      <c r="S203" s="2">
        <v>40000</v>
      </c>
      <c r="T203">
        <v>4094.27</v>
      </c>
      <c r="U203" t="s">
        <v>72</v>
      </c>
      <c r="V203" t="s">
        <v>630</v>
      </c>
      <c r="W203" t="s">
        <v>631</v>
      </c>
      <c r="X203">
        <f>Q203*1.16</f>
      </c>
    </row>
    <row r="204">
      <c r="A204" t="str">
        <f>B204</f>
        <v>PRV_INFVT_203</v>
      </c>
      <c r="B204" t="str">
        <f>HYPERLINK("https://drive.google.com/drive/folders/1NPvU8FVfCKWZtW4aF9iqLWeZ6Tn4Ffi6";"PRV_INFVT_203")</f>
        <v>PRV_INFVT_203</v>
      </c>
      <c r="C204" t="s">
        <v>83</v>
      </c>
      <c r="D204" t="s">
        <v>55</v>
      </c>
      <c r="E204" t="s">
        <v>632</v>
      </c>
      <c r="F204" t="s">
        <v>633</v>
      </c>
      <c r="G204" t="str">
        <f>HYPERLINK("https://www.google.com/maps/search/?api=1&amp;query=Cerro%20la%20Atalaya%20374%2C%20Chulavista%2C%2045645%20Tlajomulco%20de%20Zuniga%2C%20Jal.";"Cerro la Atalaya 374, Chulavista, 45645 Tlajomulco de Zuniga, Jal.")</f>
        <v>Cerro la Atalaya 374, Chulavista, 45645 Tlajomulco de Zuniga, Jal.</v>
      </c>
      <c r="H204" t="s">
        <v>49</v>
      </c>
      <c r="I204" t="s">
        <v>50</v>
      </c>
      <c r="J204" t="s">
        <v>51</v>
      </c>
      <c r="K204" t="s">
        <v>31</v>
      </c>
      <c r="L204" t="s">
        <v>32</v>
      </c>
      <c r="M204" t="s">
        <v>94</v>
      </c>
      <c r="N204" s="1">
        <v>46156</v>
      </c>
      <c r="R204" t="b">
        <v>0</v>
      </c>
      <c r="S204" s="2">
        <v>40000</v>
      </c>
      <c r="T204">
        <v>4526.47</v>
      </c>
      <c r="U204" t="s">
        <v>78</v>
      </c>
      <c r="X204">
        <f>Q204*1.16</f>
      </c>
    </row>
    <row r="205">
      <c r="A205" t="str">
        <f>B205</f>
        <v>PIC_TLAJO_204</v>
      </c>
      <c r="B205" t="str">
        <f>HYPERLINK("https://drive.google.com/drive/folders/1P6JYjpzzjS2o8Q6mWqACR1557eF0Phr1";"PIC_TLAJO_204")</f>
        <v>PIC_TLAJO_204</v>
      </c>
      <c r="C205" t="s">
        <v>24</v>
      </c>
      <c r="D205" t="s">
        <v>25</v>
      </c>
      <c r="E205" t="s">
        <v>634</v>
      </c>
      <c r="F205" t="s">
        <v>635</v>
      </c>
      <c r="G205" t="str">
        <f>HYPERLINK("https://www.google.com/maps/search/?api=1&amp;query=Monte%20Cabra%20411%2C%20LOMAS%2C%2045640%20Tlajomulco%20de%20Zuniga%2C%20Jal.";"Monte Cabra 411, LOMAS, 45640 Tlajomulco de Zuniga, Jal.")</f>
        <v>Monte Cabra 411, LOMAS, 45640 Tlajomulco de Zuniga, Jal.</v>
      </c>
      <c r="H205" t="s">
        <v>58</v>
      </c>
      <c r="I205" t="s">
        <v>59</v>
      </c>
      <c r="J205" t="s">
        <v>60</v>
      </c>
      <c r="K205" t="s">
        <v>31</v>
      </c>
      <c r="L205" t="s">
        <v>32</v>
      </c>
      <c r="M205" t="s">
        <v>99</v>
      </c>
      <c r="N205" s="1">
        <v>46188</v>
      </c>
      <c r="P205" s="1">
        <v>46203</v>
      </c>
      <c r="Q205" s="2">
        <v>19098.5</v>
      </c>
      <c r="R205" t="b">
        <v>0</v>
      </c>
      <c r="S205" s="2">
        <v>40000</v>
      </c>
      <c r="T205">
        <v>5305.82</v>
      </c>
      <c r="U205" t="s">
        <v>35</v>
      </c>
      <c r="X205">
        <f>Q205*1.16</f>
      </c>
    </row>
    <row r="206">
      <c r="A206" t="str">
        <f>B206</f>
        <v>PRV_INFVT_205</v>
      </c>
      <c r="B206" t="str">
        <f>HYPERLINK("https://drive.google.com/drive/folders/1QbHQyqK2ZXw7gBjw1xwyBcE7nUnWNs6a";"PRV_INFVT_205")</f>
        <v>PRV_INFVT_205</v>
      </c>
      <c r="C206" t="s">
        <v>83</v>
      </c>
      <c r="D206" t="s">
        <v>100</v>
      </c>
      <c r="E206" t="s">
        <v>636</v>
      </c>
      <c r="F206" t="s">
        <v>637</v>
      </c>
      <c r="G206" t="str">
        <f>HYPERLINK("https://www.google.com/maps/search/?api=1&amp;query=Cerro%20de%20las%207%20Gotas%20448%2C%20Lomas%20del%20Sur%2C%2045653%20Tlajomulco%20de%20Zuniga%2C%20Jal.";"Cerro de las 7 Gotas 448, Lomas del Sur, 45653 Tlajomulco de Zuniga, Jal.")</f>
        <v>Cerro de las 7 Gotas 448, Lomas del Sur, 45653 Tlajomulco de Zuniga, Jal.</v>
      </c>
      <c r="H206" t="s">
        <v>28</v>
      </c>
      <c r="I206" t="s">
        <v>65</v>
      </c>
      <c r="J206" t="s">
        <v>30</v>
      </c>
      <c r="K206" t="s">
        <v>31</v>
      </c>
      <c r="L206" t="s">
        <v>32</v>
      </c>
      <c r="M206" t="s">
        <v>33</v>
      </c>
      <c r="N206" s="1">
        <v>46038</v>
      </c>
      <c r="O206" s="1">
        <v>46067</v>
      </c>
      <c r="P206" s="1">
        <v>46054</v>
      </c>
      <c r="Q206" s="2">
        <v>16680.45</v>
      </c>
      <c r="R206" t="b">
        <v>0</v>
      </c>
      <c r="S206" s="2">
        <v>40000</v>
      </c>
      <c r="T206" t="s">
        <v>34</v>
      </c>
      <c r="U206" t="s">
        <v>46</v>
      </c>
      <c r="V206" t="s">
        <v>638</v>
      </c>
      <c r="W206" t="s">
        <v>639</v>
      </c>
      <c r="X206">
        <f>Q206*1.16</f>
      </c>
    </row>
    <row r="207">
      <c r="A207" t="str">
        <f>B207</f>
        <v>PIC_TLAJO_206</v>
      </c>
      <c r="B207" t="str">
        <f>HYPERLINK("https://drive.google.com/drive/folders/1SNqM4CzVRG0HDa6K0vmpokXpPw9ggwCs?usp=drive_link";"PIC_TLAJO_206")</f>
        <v>PIC_TLAJO_206</v>
      </c>
      <c r="C207" t="s">
        <v>24</v>
      </c>
      <c r="D207" t="s">
        <v>25</v>
      </c>
      <c r="E207" t="s">
        <v>640</v>
      </c>
      <c r="F207" t="s">
        <v>641</v>
      </c>
      <c r="G207" t="str">
        <f>HYPERLINK("https://www.google.com/maps/search/?api=1&amp;query=Esteli%20485%2C%20Los%20Amiales%2C%2045654%20Tlajomulco%20de%20Zuniga%2C%20Jal.";"Esteli 485, Los Amiales, 45654 Tlajomulco de Zuniga, Jal.")</f>
        <v>Esteli 485, Los Amiales, 45654 Tlajomulco de Zuniga, Jal.</v>
      </c>
      <c r="H207" t="s">
        <v>42</v>
      </c>
      <c r="I207" t="s">
        <v>70</v>
      </c>
      <c r="J207" t="s">
        <v>44</v>
      </c>
      <c r="K207" t="s">
        <v>31</v>
      </c>
      <c r="L207" t="s">
        <v>32</v>
      </c>
      <c r="M207" t="s">
        <v>45</v>
      </c>
      <c r="N207" s="1">
        <v>46070</v>
      </c>
      <c r="O207" s="1">
        <v>46100</v>
      </c>
      <c r="P207" s="1">
        <v>46087</v>
      </c>
      <c r="Q207" s="2">
        <v>28417.02</v>
      </c>
      <c r="R207" t="b">
        <v>0</v>
      </c>
      <c r="S207" s="2">
        <v>40000</v>
      </c>
      <c r="T207">
        <v>7417.12</v>
      </c>
      <c r="U207" t="s">
        <v>53</v>
      </c>
      <c r="V207" t="s">
        <v>642</v>
      </c>
      <c r="W207" t="s">
        <v>643</v>
      </c>
      <c r="X207">
        <f>Q207*1.16</f>
      </c>
    </row>
    <row r="208">
      <c r="A208" t="str">
        <f>B208</f>
        <v>PIC_TLAJO_207</v>
      </c>
      <c r="B208" t="str">
        <f>HYPERLINK("https://drive.google.com/drive/folders/1oZH4W9byEvv4rJtkiAt1DQwFtLN8nCL0";"PIC_TLAJO_207")</f>
        <v>PIC_TLAJO_207</v>
      </c>
      <c r="C208" t="s">
        <v>24</v>
      </c>
      <c r="D208" t="s">
        <v>240</v>
      </c>
      <c r="E208" t="s">
        <v>644</v>
      </c>
      <c r="F208" t="s">
        <v>645</v>
      </c>
      <c r="G208" t="str">
        <f>HYPERLINK("https://www.google.com/maps/search/?api=1&amp;query=Montevideo%20122%2C%20Villas%20de%20la%20Hacienda%2C%2045645%20Tlajomulco%20de%20Zuniga%2C%20Jal.";"Montevideo 122, Villas de la Hacienda, 45645 Tlajomulco de Zuniga, Jal.")</f>
        <v>Montevideo 122, Villas de la Hacienda, 45645 Tlajomulco de Zuniga, Jal.</v>
      </c>
      <c r="H208" t="s">
        <v>49</v>
      </c>
      <c r="I208" t="s">
        <v>76</v>
      </c>
      <c r="J208" t="s">
        <v>51</v>
      </c>
      <c r="K208" t="s">
        <v>31</v>
      </c>
      <c r="L208" t="s">
        <v>32</v>
      </c>
      <c r="M208" t="s">
        <v>52</v>
      </c>
      <c r="N208" s="1">
        <v>46099</v>
      </c>
      <c r="R208" t="b">
        <v>0</v>
      </c>
      <c r="S208" s="2">
        <v>40000</v>
      </c>
      <c r="T208">
        <v>5942.59</v>
      </c>
      <c r="U208" t="s">
        <v>62</v>
      </c>
      <c r="X208">
        <f>Q208*1.16</f>
      </c>
    </row>
    <row r="209">
      <c r="A209" t="str">
        <f>B209</f>
        <v>PRV_INFVT_208</v>
      </c>
      <c r="B209" t="str">
        <f>HYPERLINK("https://drive.google.com/drive/folders/1noAkGvTxGgaPGcXcNMZC8u2UPrJPWfzg";"PRV_INFVT_208")</f>
        <v>PRV_INFVT_208</v>
      </c>
      <c r="C209" t="s">
        <v>83</v>
      </c>
      <c r="D209" t="s">
        <v>426</v>
      </c>
      <c r="E209" t="s">
        <v>646</v>
      </c>
      <c r="F209" t="s">
        <v>647</v>
      </c>
      <c r="G209" t="str">
        <f>HYPERLINK("https://www.google.com/maps/search/?api=1&amp;query=Av.%20Bogota%20159%2C%20El%20Palomar%2C%2045640%20Tlajomulco%20de%20Zuniga%2C%20Jal.";"Av. Bogota 159, El Palomar, 45640 Tlajomulco de Zuniga, Jal.")</f>
        <v>Av. Bogota 159, El Palomar, 45640 Tlajomulco de Zuniga, Jal.</v>
      </c>
      <c r="H209" t="s">
        <v>58</v>
      </c>
      <c r="I209" t="s">
        <v>81</v>
      </c>
      <c r="J209" t="s">
        <v>60</v>
      </c>
      <c r="K209" t="s">
        <v>31</v>
      </c>
      <c r="L209" t="s">
        <v>32</v>
      </c>
      <c r="M209" t="s">
        <v>61</v>
      </c>
      <c r="N209" s="1">
        <v>46131</v>
      </c>
      <c r="Q209" s="2">
        <v>32799.17</v>
      </c>
      <c r="R209" t="b">
        <v>1</v>
      </c>
      <c r="S209" s="2">
        <v>80000</v>
      </c>
      <c r="T209">
        <v>7605.86</v>
      </c>
      <c r="U209" t="s">
        <v>67</v>
      </c>
      <c r="X209">
        <f>Q209*1.16</f>
      </c>
    </row>
    <row r="210">
      <c r="A210" t="str">
        <f>B210</f>
        <v>PIC_TLAJO_209</v>
      </c>
      <c r="B210" t="str">
        <f>HYPERLINK("https://drive.google.com/drive/folders/1DumeMJ3sjTmTVjPkzkFutSki4Wn8JPcw";"PIC_TLAJO_209")</f>
        <v>PIC_TLAJO_209</v>
      </c>
      <c r="C210" t="s">
        <v>24</v>
      </c>
      <c r="D210" t="s">
        <v>55</v>
      </c>
      <c r="E210" t="s">
        <v>648</v>
      </c>
      <c r="F210" t="s">
        <v>649</v>
      </c>
      <c r="G210" t="str">
        <f>HYPERLINK("https://www.google.com/maps/search/?api=1&amp;query=Blvd.%20Republica%20de%20Honduras%20196%2C%20Santa%20Fe%2C%2045653%20Tlajomulco%20de%20Zuniga%2C%20Jal.";"Blvd. Republica de Honduras 196, Santa Fe, 45653 Tlajomulco de Zuniga, Jal.")</f>
        <v>Blvd. Republica de Honduras 196, Santa Fe, 45653 Tlajomulco de Zuniga, Jal.</v>
      </c>
      <c r="H210" t="s">
        <v>28</v>
      </c>
      <c r="I210" t="s">
        <v>29</v>
      </c>
      <c r="J210" t="s">
        <v>30</v>
      </c>
      <c r="K210" t="s">
        <v>31</v>
      </c>
      <c r="L210" t="s">
        <v>32</v>
      </c>
      <c r="M210" t="s">
        <v>66</v>
      </c>
      <c r="N210" s="1">
        <v>46162</v>
      </c>
      <c r="R210" t="b">
        <v>0</v>
      </c>
      <c r="S210" s="2">
        <v>40000</v>
      </c>
      <c r="T210" t="s">
        <v>34</v>
      </c>
      <c r="U210" t="s">
        <v>72</v>
      </c>
      <c r="X210">
        <f>Q210*1.16</f>
      </c>
    </row>
    <row r="211">
      <c r="A211" t="str">
        <f>B211</f>
        <v>BNC_HSBC_210</v>
      </c>
      <c r="B211" t="str">
        <f>HYPERLINK("https://drive.google.com/drive/folders/1dXzoVD7tJrsWxvtSBHWJawKmJL9dBwbM";"BNC_HSBC_210")</f>
        <v>BNC_HSBC_210</v>
      </c>
      <c r="C211" t="s">
        <v>38</v>
      </c>
      <c r="D211" t="s">
        <v>39</v>
      </c>
      <c r="E211" t="s">
        <v>650</v>
      </c>
      <c r="F211" t="s">
        <v>651</v>
      </c>
      <c r="G211" t="str">
        <f>HYPERLINK("https://www.google.com/maps/search/?api=1&amp;query=Paseo%20de%20los%20Agaves%20233%2C%20Hacienda%20Santa%20Fe%2C%2045654%20Tlajomulco%20de%20Zuniga%2C%20Jal.";"Paseo de los Agaves 233, Hacienda Santa Fe, 45654 Tlajomulco de Zuniga, Jal.")</f>
        <v>Paseo de los Agaves 233, Hacienda Santa Fe, 45654 Tlajomulco de Zuniga, Jal.</v>
      </c>
      <c r="H211" t="s">
        <v>42</v>
      </c>
      <c r="I211" t="s">
        <v>43</v>
      </c>
      <c r="J211" t="s">
        <v>44</v>
      </c>
      <c r="K211" t="s">
        <v>31</v>
      </c>
      <c r="L211" t="s">
        <v>32</v>
      </c>
      <c r="M211" t="s">
        <v>71</v>
      </c>
      <c r="N211" s="1">
        <v>46194</v>
      </c>
      <c r="R211" t="b">
        <v>0</v>
      </c>
      <c r="S211" s="2">
        <v>40000</v>
      </c>
      <c r="T211">
        <v>6946.14</v>
      </c>
      <c r="U211" t="s">
        <v>78</v>
      </c>
      <c r="X211">
        <f>Q211*1.16</f>
      </c>
    </row>
    <row r="212">
      <c r="A212" t="str">
        <f>B212</f>
        <v>PRV_INFVT_211</v>
      </c>
      <c r="B212" t="str">
        <f>HYPERLINK("https://drive.google.com/drive/folders/12JF6SZ5EjmkBZNcttvEvFJQehzQdZZix?usp=drive_link";"PRV_INFVT_211")</f>
        <v>PRV_INFVT_211</v>
      </c>
      <c r="C212" t="s">
        <v>83</v>
      </c>
      <c r="D212" t="s">
        <v>25</v>
      </c>
      <c r="E212" t="s">
        <v>652</v>
      </c>
      <c r="F212" t="s">
        <v>653</v>
      </c>
      <c r="G212" t="str">
        <f>HYPERLINK("https://www.google.com/maps/search/?api=1&amp;query=Volcan%20Paricutin%20270%2C%20Chulavista%2C%2045645%20Tlajomulco%20de%20Zuniga%2C%20Jal.";"Volcan Paricutin 270, Chulavista, 45645 Tlajomulco de Zuniga, Jal.")</f>
        <v>Volcan Paricutin 270, Chulavista, 45645 Tlajomulco de Zuniga, Jal.</v>
      </c>
      <c r="H212" t="s">
        <v>49</v>
      </c>
      <c r="I212" t="s">
        <v>50</v>
      </c>
      <c r="J212" t="s">
        <v>51</v>
      </c>
      <c r="K212" t="s">
        <v>31</v>
      </c>
      <c r="L212" t="s">
        <v>32</v>
      </c>
      <c r="M212" t="s">
        <v>77</v>
      </c>
      <c r="N212" s="1">
        <v>46044</v>
      </c>
      <c r="O212" s="1">
        <v>46079</v>
      </c>
      <c r="P212" s="1">
        <v>46066</v>
      </c>
      <c r="Q212" s="2">
        <v>34441.83</v>
      </c>
      <c r="R212" t="b">
        <v>0</v>
      </c>
      <c r="S212" s="2">
        <v>40000</v>
      </c>
      <c r="T212">
        <v>8279.98</v>
      </c>
      <c r="U212" t="s">
        <v>35</v>
      </c>
      <c r="V212" t="s">
        <v>654</v>
      </c>
      <c r="W212" t="s">
        <v>655</v>
      </c>
      <c r="X212">
        <f>Q212*1.16</f>
      </c>
    </row>
    <row r="213">
      <c r="A213" t="str">
        <f>B213</f>
        <v>PIC_TLAJO_212</v>
      </c>
      <c r="B213" t="str">
        <f>HYPERLINK("https://drive.google.com/drive/folders/1mENP8G3paMg89BSAP15Ct6Ny1kb566VY";"PIC_TLAJO_212")</f>
        <v>PIC_TLAJO_212</v>
      </c>
      <c r="C213" t="s">
        <v>24</v>
      </c>
      <c r="D213" t="s">
        <v>128</v>
      </c>
      <c r="E213" t="s">
        <v>656</v>
      </c>
      <c r="F213" t="s">
        <v>657</v>
      </c>
      <c r="G213" t="str">
        <f>HYPERLINK("https://www.google.com/maps/search/?api=1&amp;query=Loma%20Dorada%20307%2C%20LOMAS%2C%2045640%20Tlajomulco%20de%20Zuniga%2C%20Jal.";"Loma Dorada 307, LOMAS, 45640 Tlajomulco de Zuniga, Jal.")</f>
        <v>Loma Dorada 307, LOMAS, 45640 Tlajomulco de Zuniga, Jal.</v>
      </c>
      <c r="H213" t="s">
        <v>58</v>
      </c>
      <c r="I213" t="s">
        <v>59</v>
      </c>
      <c r="J213" t="s">
        <v>60</v>
      </c>
      <c r="K213" t="s">
        <v>31</v>
      </c>
      <c r="L213" t="s">
        <v>32</v>
      </c>
      <c r="M213" t="s">
        <v>82</v>
      </c>
      <c r="N213" s="1">
        <v>46076</v>
      </c>
      <c r="R213" t="b">
        <v>0</v>
      </c>
      <c r="S213" s="2">
        <v>40000</v>
      </c>
      <c r="T213">
        <v>3692.96</v>
      </c>
      <c r="U213" t="s">
        <v>46</v>
      </c>
      <c r="X213">
        <f>Q213*1.16</f>
      </c>
    </row>
    <row r="596">
      <c r="A596" t="str">
        <f>B596</f>
        <v>PIC_TLAJO_213</v>
      </c>
      <c r="B596" t="str">
        <f>HYPERLINK("https://drive.google.com/drive/folders/1mzizUC0bWxa8MTgnJwgm1QSwHXHYkbEq";"PIC_TLAJO_213")</f>
        <v>PIC_TLAJO_213</v>
      </c>
      <c r="C596" t="s">
        <v>24</v>
      </c>
      <c r="D596" t="s">
        <v>55</v>
      </c>
      <c r="E596" t="s">
        <v>658</v>
      </c>
      <c r="F596" t="s">
        <v>659</v>
      </c>
      <c r="G596" t="str">
        <f>HYPERLINK("https://www.google.com/maps/search/?api=1&amp;query=Real%20de%20Minas%20344%2C%20Lomas%20del%20Sur%2C%2045653%20Tlajomulco%20de%20Zuniga%2C%20Jal.";"Real de Minas 344, Lomas del Sur, 45653 Tlajomulco de Zuniga, Jal.")</f>
        <v>Real de Minas 344, Lomas del Sur, 45653 Tlajomulco de Zuniga, Jal.</v>
      </c>
      <c r="H596" t="s">
        <v>28</v>
      </c>
      <c r="I596" t="s">
        <v>65</v>
      </c>
      <c r="J596" t="s">
        <v>30</v>
      </c>
      <c r="K596" t="s">
        <v>31</v>
      </c>
      <c r="L596" t="s">
        <v>32</v>
      </c>
      <c r="M596" t="s">
        <v>86</v>
      </c>
      <c r="N596" s="1">
        <v>46105</v>
      </c>
      <c r="R596" t="b">
        <v>0</v>
      </c>
      <c r="S596" s="2">
        <v>40000</v>
      </c>
      <c r="T596" t="s">
        <v>34</v>
      </c>
      <c r="U596" t="s">
        <v>53</v>
      </c>
      <c r="X596">
        <f>Q596*1.16</f>
      </c>
    </row>
    <row r="597">
      <c r="A597" t="str">
        <f>B597</f>
        <v>PIC_TLAJO_214</v>
      </c>
      <c r="B597" t="str">
        <f>HYPERLINK("https://drive.google.com/drive/folders/1zKP9vJjVjf8mehzywEt1ppnijTzUZkfw";"PIC_TLAJO_214")</f>
        <v>PIC_TLAJO_214</v>
      </c>
      <c r="C597" t="s">
        <v>24</v>
      </c>
      <c r="D597" t="s">
        <v>25</v>
      </c>
      <c r="E597" t="s">
        <v>660</v>
      </c>
      <c r="F597" t="s">
        <v>661</v>
      </c>
      <c r="G597" t="str">
        <f>HYPERLINK("https://www.google.com/maps/search/?api=1&amp;query=Camino%20Real%20381%2C%20Los%20Amiales%2C%2045654%20Tlajomulco%20de%20Zuniga%2C%20Jal.";"Camino Real 381, Los Amiales, 45654 Tlajomulco de Zuniga, Jal.")</f>
        <v>Camino Real 381, Los Amiales, 45654 Tlajomulco de Zuniga, Jal.</v>
      </c>
      <c r="H597" t="s">
        <v>42</v>
      </c>
      <c r="I597" t="s">
        <v>70</v>
      </c>
      <c r="J597" t="s">
        <v>44</v>
      </c>
      <c r="K597" t="s">
        <v>31</v>
      </c>
      <c r="L597" t="s">
        <v>32</v>
      </c>
      <c r="M597" t="s">
        <v>89</v>
      </c>
      <c r="N597" s="1">
        <v>46137</v>
      </c>
      <c r="O597" s="1">
        <v>46175</v>
      </c>
      <c r="P597" s="1">
        <v>46162</v>
      </c>
      <c r="Q597" s="2">
        <v>15111.97</v>
      </c>
      <c r="R597" t="b">
        <v>0</v>
      </c>
      <c r="S597" s="2">
        <v>40000</v>
      </c>
      <c r="T597">
        <v>1910.31</v>
      </c>
      <c r="U597" t="s">
        <v>62</v>
      </c>
      <c r="V597" t="s">
        <v>662</v>
      </c>
      <c r="W597" t="s">
        <v>663</v>
      </c>
      <c r="X597">
        <f>Q597*1.16</f>
      </c>
    </row>
  </sheetData>
  <hyperlinks>
    <hyperlink ref="V2" r:id="rIdH1"/>
    <hyperlink ref="W2" r:id="rIdH2"/>
    <hyperlink ref="W4" r:id="rIdH3"/>
    <hyperlink ref="W7" r:id="rIdH4"/>
    <hyperlink ref="V11" r:id="rIdH5"/>
    <hyperlink ref="W11" r:id="rIdH6"/>
    <hyperlink ref="V12" r:id="rIdH7"/>
    <hyperlink ref="W12" r:id="rIdH8"/>
    <hyperlink ref="V14" r:id="rIdH9"/>
    <hyperlink ref="W14" r:id="rIdH10"/>
    <hyperlink ref="W16" r:id="rIdH11"/>
    <hyperlink ref="V17" r:id="rIdH12"/>
    <hyperlink ref="V18" r:id="rIdH13"/>
    <hyperlink ref="W18" r:id="rIdH14"/>
    <hyperlink ref="W19" r:id="rIdH15"/>
    <hyperlink ref="V21" r:id="rIdH16"/>
    <hyperlink ref="W22" r:id="rIdH17"/>
    <hyperlink ref="V24" r:id="rIdH18"/>
    <hyperlink ref="W24" r:id="rIdH19"/>
    <hyperlink ref="V26" r:id="rIdH20"/>
    <hyperlink ref="W26" r:id="rIdH21"/>
    <hyperlink ref="W28" r:id="rIdH22"/>
    <hyperlink ref="V30" r:id="rIdH23"/>
    <hyperlink ref="W30" r:id="rIdH24"/>
    <hyperlink ref="V32" r:id="rIdH25"/>
    <hyperlink ref="W32" r:id="rIdH26"/>
    <hyperlink ref="V33" r:id="rIdH27"/>
    <hyperlink ref="V36" r:id="rIdH28"/>
    <hyperlink ref="W36" r:id="rIdH29"/>
    <hyperlink ref="V38" r:id="rIdH30"/>
    <hyperlink ref="W38" r:id="rIdH31"/>
    <hyperlink ref="V39" r:id="rIdH32"/>
    <hyperlink ref="W39" r:id="rIdH33"/>
    <hyperlink ref="W40" r:id="rIdH34"/>
    <hyperlink ref="V41" r:id="rIdH35"/>
    <hyperlink ref="V42" r:id="rIdH36"/>
    <hyperlink ref="W42" r:id="rIdH37"/>
    <hyperlink ref="W43" r:id="rIdH38"/>
    <hyperlink ref="V47" r:id="rIdH39"/>
    <hyperlink ref="W47" r:id="rIdH40"/>
    <hyperlink ref="V48" r:id="rIdH41"/>
    <hyperlink ref="W48" r:id="rIdH42"/>
    <hyperlink ref="W55" r:id="rIdH43"/>
    <hyperlink ref="V56" r:id="rIdH44"/>
    <hyperlink ref="W56" r:id="rIdH45"/>
    <hyperlink ref="V57" r:id="rIdH46"/>
    <hyperlink ref="W58" r:id="rIdH47"/>
    <hyperlink ref="V59" r:id="rIdH48"/>
    <hyperlink ref="W59" r:id="rIdH49"/>
    <hyperlink ref="V60" r:id="rIdH50"/>
    <hyperlink ref="W60" r:id="rIdH51"/>
    <hyperlink ref="V63" r:id="rIdH52"/>
    <hyperlink ref="W63" r:id="rIdH53"/>
    <hyperlink ref="W64" r:id="rIdH54"/>
    <hyperlink ref="V69" r:id="rIdH55"/>
    <hyperlink ref="V71" r:id="rIdH56"/>
    <hyperlink ref="W71" r:id="rIdH57"/>
    <hyperlink ref="V74" r:id="rIdH58"/>
    <hyperlink ref="W74" r:id="rIdH59"/>
    <hyperlink ref="W76" r:id="rIdH60"/>
    <hyperlink ref="V77" r:id="rIdH61"/>
    <hyperlink ref="V78" r:id="rIdH62"/>
    <hyperlink ref="W78" r:id="rIdH63"/>
    <hyperlink ref="W79" r:id="rIdH64"/>
    <hyperlink ref="V81" r:id="rIdH65"/>
    <hyperlink ref="V84" r:id="rIdH66"/>
    <hyperlink ref="W84" r:id="rIdH67"/>
    <hyperlink ref="V86" r:id="rIdH68"/>
    <hyperlink ref="W86" r:id="rIdH69"/>
    <hyperlink ref="W88" r:id="rIdH70"/>
    <hyperlink ref="V89" r:id="rIdH71"/>
    <hyperlink ref="V90" r:id="rIdH72"/>
    <hyperlink ref="W90" r:id="rIdH73"/>
    <hyperlink ref="V92" r:id="rIdH74"/>
    <hyperlink ref="W92" r:id="rIdH75"/>
    <hyperlink ref="V95" r:id="rIdH76"/>
    <hyperlink ref="W95" r:id="rIdH77"/>
    <hyperlink ref="V98" r:id="rIdH78"/>
    <hyperlink ref="W98" r:id="rIdH79"/>
    <hyperlink ref="V99" r:id="rIdH80"/>
    <hyperlink ref="W99" r:id="rIdH81"/>
    <hyperlink ref="V102" r:id="rIdH82"/>
    <hyperlink ref="W102" r:id="rIdH83"/>
    <hyperlink ref="V105" r:id="rIdH84"/>
    <hyperlink ref="W106" r:id="rIdH85"/>
    <hyperlink ref="V110" r:id="rIdH86"/>
    <hyperlink ref="W110" r:id="rIdH87"/>
    <hyperlink ref="V113" r:id="rIdH88"/>
    <hyperlink ref="V114" r:id="rIdH89"/>
    <hyperlink ref="W114" r:id="rIdH90"/>
    <hyperlink ref="W115" r:id="rIdH91"/>
    <hyperlink ref="W118" r:id="rIdH92"/>
    <hyperlink ref="V119" r:id="rIdH93"/>
    <hyperlink ref="W119" r:id="rIdH94"/>
    <hyperlink ref="V120" r:id="rIdH95"/>
    <hyperlink ref="W120" r:id="rIdH96"/>
    <hyperlink ref="V122" r:id="rIdH97"/>
    <hyperlink ref="W122" r:id="rIdH98"/>
    <hyperlink ref="V123" r:id="rIdH99"/>
    <hyperlink ref="W123" r:id="rIdH100"/>
    <hyperlink ref="V125" r:id="rIdH101"/>
    <hyperlink ref="V126" r:id="rIdH102"/>
    <hyperlink ref="W126" r:id="rIdH103"/>
    <hyperlink ref="V131" r:id="rIdH104"/>
    <hyperlink ref="W131" r:id="rIdH105"/>
    <hyperlink ref="V134" r:id="rIdH106"/>
    <hyperlink ref="W134" r:id="rIdH107"/>
    <hyperlink ref="V135" r:id="rIdH108"/>
    <hyperlink ref="W135" r:id="rIdH109"/>
    <hyperlink ref="W136" r:id="rIdH110"/>
    <hyperlink ref="V137" r:id="rIdH111"/>
    <hyperlink ref="V138" r:id="rIdH112"/>
    <hyperlink ref="W138" r:id="rIdH113"/>
    <hyperlink ref="W139" r:id="rIdH114"/>
    <hyperlink ref="V141" r:id="rIdH115"/>
    <hyperlink ref="V144" r:id="rIdH116"/>
    <hyperlink ref="W144" r:id="rIdH117"/>
    <hyperlink ref="V146" r:id="rIdH118"/>
    <hyperlink ref="W146" r:id="rIdH119"/>
    <hyperlink ref="W148" r:id="rIdH120"/>
    <hyperlink ref="W151" r:id="rIdH121"/>
    <hyperlink ref="V153" r:id="rIdH122"/>
    <hyperlink ref="V155" r:id="rIdH123"/>
    <hyperlink ref="W155" r:id="rIdH124"/>
    <hyperlink ref="V158" r:id="rIdH125"/>
    <hyperlink ref="W158" r:id="rIdH126"/>
    <hyperlink ref="V159" r:id="rIdH127"/>
    <hyperlink ref="W159" r:id="rIdH128"/>
    <hyperlink ref="V161" r:id="rIdH129"/>
    <hyperlink ref="W163" r:id="rIdH130"/>
    <hyperlink ref="V164" r:id="rIdH131"/>
    <hyperlink ref="W164" r:id="rIdH132"/>
    <hyperlink ref="V171" r:id="rIdH133"/>
    <hyperlink ref="W171" r:id="rIdH134"/>
    <hyperlink ref="W172" r:id="rIdH135"/>
    <hyperlink ref="V174" r:id="rIdH136"/>
    <hyperlink ref="W174" r:id="rIdH137"/>
    <hyperlink ref="W184" r:id="rIdH138"/>
    <hyperlink ref="V185" r:id="rIdH139"/>
    <hyperlink ref="V186" r:id="rIdH140"/>
    <hyperlink ref="W186" r:id="rIdH141"/>
    <hyperlink ref="W187" r:id="rIdH142"/>
    <hyperlink ref="V189" r:id="rIdH143"/>
    <hyperlink ref="W190" r:id="rIdH144"/>
    <hyperlink ref="V191" r:id="rIdH145"/>
    <hyperlink ref="W191" r:id="rIdH146"/>
    <hyperlink ref="V194" r:id="rIdH147"/>
    <hyperlink ref="W194" r:id="rIdH148"/>
    <hyperlink ref="W196" r:id="rIdH149"/>
    <hyperlink ref="V198" r:id="rIdH150"/>
    <hyperlink ref="W198" r:id="rIdH151"/>
    <hyperlink ref="V201" r:id="rIdH152"/>
    <hyperlink ref="V203" r:id="rIdH153"/>
    <hyperlink ref="W203" r:id="rIdH154"/>
    <hyperlink ref="V206" r:id="rIdH155"/>
    <hyperlink ref="W206" r:id="rIdH156"/>
    <hyperlink ref="V207" r:id="rIdH157"/>
    <hyperlink ref="W207" r:id="rIdH158"/>
    <hyperlink ref="V212" r:id="rIdH159"/>
    <hyperlink ref="W212" r:id="rIdH160"/>
    <hyperlink ref="V597" r:id="rIdH161"/>
    <hyperlink ref="W597" r:id="rIdH162"/>
  </hyperlinks>
</worksheet>
</file>